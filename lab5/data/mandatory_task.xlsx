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halexandr/PycharmProjects/itmo-cse-informatics/lab5/data/"/>
    </mc:Choice>
  </mc:AlternateContent>
  <xr:revisionPtr revIDLastSave="0" documentId="13_ncr:1_{0BBD6B00-E70F-0F45-90AE-678FCFC9DCE7}" xr6:coauthVersionLast="47" xr6:coauthVersionMax="47" xr10:uidLastSave="{00000000-0000-0000-0000-000000000000}"/>
  <bookViews>
    <workbookView xWindow="7980" yWindow="-22280" windowWidth="34560" windowHeight="21660" xr2:uid="{D23CC1A3-BE58-634D-8264-AE3ED6B3E614}"/>
  </bookViews>
  <sheets>
    <sheet name="Mandatory Tas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65" i="1" l="1"/>
  <c r="BG108" i="1"/>
  <c r="BG110" i="1" s="1"/>
  <c r="BG107" i="1"/>
  <c r="AI108" i="1"/>
  <c r="AJ108" i="1"/>
  <c r="AK108" i="1"/>
  <c r="AL108" i="1"/>
  <c r="AM108" i="1"/>
  <c r="AN108" i="1"/>
  <c r="AO108" i="1"/>
  <c r="AP108" i="1"/>
  <c r="AQ108" i="1"/>
  <c r="AR108" i="1"/>
  <c r="AS108" i="1"/>
  <c r="AT108" i="1"/>
  <c r="AU108" i="1"/>
  <c r="AV108" i="1"/>
  <c r="AW108" i="1"/>
  <c r="AX108" i="1"/>
  <c r="AY108" i="1"/>
  <c r="AZ108" i="1"/>
  <c r="AH108" i="1"/>
  <c r="AI107" i="1"/>
  <c r="AJ107" i="1"/>
  <c r="AK107" i="1"/>
  <c r="AL107" i="1"/>
  <c r="AM107" i="1"/>
  <c r="AN107" i="1"/>
  <c r="AO107" i="1"/>
  <c r="AP107" i="1"/>
  <c r="AQ107" i="1"/>
  <c r="AR107" i="1"/>
  <c r="AS107" i="1"/>
  <c r="AT107" i="1"/>
  <c r="AU107" i="1"/>
  <c r="AV107" i="1"/>
  <c r="AV106" i="1" s="1"/>
  <c r="AV110" i="1" s="1"/>
  <c r="AW107" i="1"/>
  <c r="AX107" i="1"/>
  <c r="AY107" i="1"/>
  <c r="AZ107" i="1"/>
  <c r="AH107" i="1"/>
  <c r="BG91" i="1"/>
  <c r="BG90" i="1"/>
  <c r="AI91" i="1"/>
  <c r="AJ91" i="1"/>
  <c r="AK91" i="1"/>
  <c r="AL91" i="1"/>
  <c r="AM91" i="1"/>
  <c r="AN91" i="1"/>
  <c r="AO91" i="1"/>
  <c r="AP91" i="1"/>
  <c r="AQ91" i="1"/>
  <c r="AR91" i="1"/>
  <c r="AS91" i="1"/>
  <c r="AT91" i="1"/>
  <c r="AU91" i="1"/>
  <c r="AV91" i="1"/>
  <c r="AW91" i="1"/>
  <c r="AX91" i="1"/>
  <c r="AY91" i="1"/>
  <c r="AZ91" i="1"/>
  <c r="AH91" i="1"/>
  <c r="AI90" i="1"/>
  <c r="AJ90" i="1"/>
  <c r="AK90" i="1"/>
  <c r="AL90" i="1"/>
  <c r="AM90" i="1"/>
  <c r="AN90" i="1"/>
  <c r="AO90" i="1"/>
  <c r="AP90" i="1"/>
  <c r="AQ90" i="1"/>
  <c r="AR90" i="1"/>
  <c r="AS90" i="1"/>
  <c r="AT90" i="1"/>
  <c r="AU90" i="1"/>
  <c r="AV90" i="1"/>
  <c r="AV89" i="1" s="1"/>
  <c r="AV93" i="1" s="1"/>
  <c r="AW90" i="1"/>
  <c r="AX90" i="1"/>
  <c r="AY90" i="1"/>
  <c r="AZ90" i="1"/>
  <c r="AH90" i="1"/>
  <c r="BG74" i="1"/>
  <c r="BG73" i="1"/>
  <c r="AI74" i="1"/>
  <c r="AJ74" i="1"/>
  <c r="AK74" i="1"/>
  <c r="AL74" i="1"/>
  <c r="AM74" i="1"/>
  <c r="AN74" i="1"/>
  <c r="AO74" i="1"/>
  <c r="AP74" i="1"/>
  <c r="AQ74" i="1"/>
  <c r="AR74" i="1"/>
  <c r="AS74" i="1"/>
  <c r="AT74" i="1"/>
  <c r="AU74" i="1"/>
  <c r="AV74" i="1"/>
  <c r="AW74" i="1"/>
  <c r="AX74" i="1"/>
  <c r="AY74" i="1"/>
  <c r="AZ74" i="1"/>
  <c r="AH74" i="1"/>
  <c r="AI73" i="1"/>
  <c r="AJ73" i="1"/>
  <c r="AK73" i="1"/>
  <c r="AL73" i="1"/>
  <c r="AM73" i="1"/>
  <c r="AN73" i="1"/>
  <c r="AO73" i="1"/>
  <c r="AP73" i="1"/>
  <c r="AQ73" i="1"/>
  <c r="AR73" i="1"/>
  <c r="AS73" i="1"/>
  <c r="AT73" i="1"/>
  <c r="AU73" i="1"/>
  <c r="AV73" i="1"/>
  <c r="AW73" i="1"/>
  <c r="AX73" i="1"/>
  <c r="AY73" i="1"/>
  <c r="AZ73" i="1"/>
  <c r="AH73" i="1"/>
  <c r="BG57" i="1"/>
  <c r="BG56" i="1"/>
  <c r="AI57" i="1"/>
  <c r="AJ57" i="1"/>
  <c r="AK57" i="1"/>
  <c r="AL57" i="1"/>
  <c r="AM57" i="1"/>
  <c r="AN57" i="1"/>
  <c r="AO57" i="1"/>
  <c r="AP57" i="1"/>
  <c r="AQ57" i="1"/>
  <c r="AR57" i="1"/>
  <c r="AS57" i="1"/>
  <c r="AT57" i="1"/>
  <c r="AU57" i="1"/>
  <c r="AV57" i="1"/>
  <c r="AW57" i="1"/>
  <c r="AX57" i="1"/>
  <c r="AY57" i="1"/>
  <c r="AZ57" i="1"/>
  <c r="AH57" i="1"/>
  <c r="AI56" i="1"/>
  <c r="AJ56" i="1"/>
  <c r="AK56" i="1"/>
  <c r="AL56" i="1"/>
  <c r="AM56" i="1"/>
  <c r="AN56" i="1"/>
  <c r="AO56" i="1"/>
  <c r="AP56" i="1"/>
  <c r="AQ56" i="1"/>
  <c r="AR56" i="1"/>
  <c r="AS56" i="1"/>
  <c r="AT56" i="1"/>
  <c r="AU56" i="1"/>
  <c r="AV56" i="1"/>
  <c r="AW56" i="1"/>
  <c r="AX56" i="1"/>
  <c r="AY56" i="1"/>
  <c r="AZ56" i="1"/>
  <c r="AH56" i="1"/>
  <c r="AN48" i="1"/>
  <c r="AN45" i="1"/>
  <c r="AK45" i="1"/>
  <c r="BG40" i="1"/>
  <c r="BG39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AU40" i="1"/>
  <c r="AV40" i="1"/>
  <c r="AW40" i="1"/>
  <c r="AX40" i="1"/>
  <c r="AY40" i="1"/>
  <c r="AZ40" i="1"/>
  <c r="AH40" i="1"/>
  <c r="AI39" i="1"/>
  <c r="AJ39" i="1"/>
  <c r="AK39" i="1"/>
  <c r="AL39" i="1"/>
  <c r="AM39" i="1"/>
  <c r="AN39" i="1"/>
  <c r="AO39" i="1"/>
  <c r="AP39" i="1"/>
  <c r="AQ39" i="1"/>
  <c r="AR39" i="1"/>
  <c r="AS39" i="1"/>
  <c r="AT39" i="1"/>
  <c r="AU39" i="1"/>
  <c r="AV39" i="1"/>
  <c r="AV38" i="1" s="1"/>
  <c r="AV42" i="1" s="1"/>
  <c r="AW39" i="1"/>
  <c r="AX39" i="1"/>
  <c r="AY39" i="1"/>
  <c r="AZ39" i="1"/>
  <c r="AH39" i="1"/>
  <c r="BG23" i="1"/>
  <c r="BG22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AU23" i="1"/>
  <c r="AV23" i="1"/>
  <c r="AW23" i="1"/>
  <c r="AX23" i="1"/>
  <c r="AY23" i="1"/>
  <c r="AZ23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AZ21" i="1" s="1"/>
  <c r="AH22" i="1"/>
  <c r="AZ110" i="1"/>
  <c r="AZ106" i="1"/>
  <c r="BG93" i="1"/>
  <c r="AZ89" i="1"/>
  <c r="AZ93" i="1" s="1"/>
  <c r="AY89" i="1"/>
  <c r="AY93" i="1" s="1"/>
  <c r="BG76" i="1"/>
  <c r="AZ72" i="1"/>
  <c r="AZ76" i="1" s="1"/>
  <c r="BG59" i="1"/>
  <c r="AZ55" i="1"/>
  <c r="AZ59" i="1" s="1"/>
  <c r="BG42" i="1"/>
  <c r="AZ38" i="1"/>
  <c r="AZ42" i="1" s="1"/>
  <c r="BG25" i="1"/>
  <c r="E7" i="1"/>
  <c r="U7" i="1" s="1"/>
  <c r="AT6" i="1" s="1"/>
  <c r="Z7" i="1"/>
  <c r="AY6" i="1" s="1"/>
  <c r="AA7" i="1"/>
  <c r="AZ6" i="1" s="1"/>
  <c r="K7" i="1"/>
  <c r="AJ6" i="1" s="1"/>
  <c r="L7" i="1"/>
  <c r="AK6" i="1" s="1"/>
  <c r="M7" i="1"/>
  <c r="AL6" i="1" s="1"/>
  <c r="N7" i="1"/>
  <c r="AM6" i="1" s="1"/>
  <c r="P7" i="1"/>
  <c r="AO6" i="1" s="1"/>
  <c r="R7" i="1"/>
  <c r="AQ6" i="1" s="1"/>
  <c r="W7" i="1"/>
  <c r="AV6" i="1" s="1"/>
  <c r="Y7" i="1"/>
  <c r="AX6" i="1" s="1"/>
  <c r="M8" i="1"/>
  <c r="R8" i="1"/>
  <c r="W8" i="1"/>
  <c r="M9" i="1"/>
  <c r="R9" i="1"/>
  <c r="W9" i="1"/>
  <c r="M10" i="1"/>
  <c r="R10" i="1"/>
  <c r="W10" i="1"/>
  <c r="M11" i="1"/>
  <c r="R11" i="1"/>
  <c r="W11" i="1"/>
  <c r="M12" i="1"/>
  <c r="R12" i="1"/>
  <c r="W12" i="1"/>
  <c r="M13" i="1"/>
  <c r="R13" i="1"/>
  <c r="W13" i="1"/>
  <c r="M14" i="1"/>
  <c r="R14" i="1"/>
  <c r="W14" i="1"/>
  <c r="M15" i="1"/>
  <c r="R15" i="1"/>
  <c r="W15" i="1"/>
  <c r="M16" i="1"/>
  <c r="R16" i="1"/>
  <c r="W16" i="1"/>
  <c r="M17" i="1"/>
  <c r="R17" i="1"/>
  <c r="W17" i="1"/>
  <c r="M6" i="1"/>
  <c r="AL5" i="1" s="1"/>
  <c r="R6" i="1"/>
  <c r="AQ5" i="1" s="1"/>
  <c r="AQ4" i="1" s="1"/>
  <c r="W6" i="1"/>
  <c r="AV5" i="1" s="1"/>
  <c r="AV8" i="1" s="1"/>
  <c r="AB4" i="1"/>
  <c r="E6" i="1"/>
  <c r="U6" i="1" s="1"/>
  <c r="AT5" i="1" s="1"/>
  <c r="AY106" i="1" l="1"/>
  <c r="AX106" i="1" s="1"/>
  <c r="AX89" i="1"/>
  <c r="AY38" i="1"/>
  <c r="AZ25" i="1"/>
  <c r="AY21" i="1"/>
  <c r="AY25" i="1" s="1"/>
  <c r="AY72" i="1"/>
  <c r="AY76" i="1" s="1"/>
  <c r="AY55" i="1"/>
  <c r="AY59" i="1" s="1"/>
  <c r="BG5" i="1"/>
  <c r="T7" i="1"/>
  <c r="AS6" i="1" s="1"/>
  <c r="S7" i="1"/>
  <c r="AR6" i="1" s="1"/>
  <c r="Q7" i="1"/>
  <c r="AP6" i="1" s="1"/>
  <c r="O7" i="1"/>
  <c r="AN6" i="1" s="1"/>
  <c r="AL8" i="1"/>
  <c r="AL4" i="1"/>
  <c r="AV4" i="1"/>
  <c r="AA6" i="1"/>
  <c r="AZ5" i="1" s="1"/>
  <c r="AZ4" i="1" s="1"/>
  <c r="X7" i="1"/>
  <c r="AW6" i="1" s="1"/>
  <c r="J7" i="1"/>
  <c r="AI6" i="1" s="1"/>
  <c r="AQ8" i="1"/>
  <c r="I7" i="1"/>
  <c r="AH6" i="1" s="1"/>
  <c r="BG6" i="1"/>
  <c r="BG8" i="1" s="1"/>
  <c r="V7" i="1"/>
  <c r="AU6" i="1" s="1"/>
  <c r="AB7" i="1"/>
  <c r="P6" i="1"/>
  <c r="AO5" i="1" s="1"/>
  <c r="O6" i="1"/>
  <c r="AN5" i="1" s="1"/>
  <c r="S6" i="1"/>
  <c r="AR5" i="1" s="1"/>
  <c r="N6" i="1"/>
  <c r="AM5" i="1" s="1"/>
  <c r="Q6" i="1"/>
  <c r="AP5" i="1" s="1"/>
  <c r="AB6" i="1"/>
  <c r="T6" i="1"/>
  <c r="AS5" i="1" s="1"/>
  <c r="Z6" i="1"/>
  <c r="AY5" i="1" s="1"/>
  <c r="X6" i="1"/>
  <c r="AW5" i="1" s="1"/>
  <c r="J6" i="1"/>
  <c r="AI5" i="1" s="1"/>
  <c r="L6" i="1"/>
  <c r="AK5" i="1" s="1"/>
  <c r="I6" i="1"/>
  <c r="AH5" i="1" s="1"/>
  <c r="Y6" i="1"/>
  <c r="AX5" i="1" s="1"/>
  <c r="V6" i="1"/>
  <c r="AU5" i="1" s="1"/>
  <c r="K6" i="1"/>
  <c r="AJ5" i="1" s="1"/>
  <c r="AX110" i="1" l="1"/>
  <c r="AW106" i="1"/>
  <c r="AY110" i="1"/>
  <c r="AX93" i="1"/>
  <c r="AW89" i="1"/>
  <c r="AX72" i="1"/>
  <c r="AX76" i="1" s="1"/>
  <c r="AX55" i="1"/>
  <c r="AX59" i="1" s="1"/>
  <c r="AX38" i="1"/>
  <c r="AY42" i="1"/>
  <c r="AX21" i="1"/>
  <c r="AQ106" i="1"/>
  <c r="AW72" i="1"/>
  <c r="AW55" i="1"/>
  <c r="AQ38" i="1"/>
  <c r="AV21" i="1"/>
  <c r="AY4" i="1"/>
  <c r="AX4" i="1" s="1"/>
  <c r="AX8" i="1" s="1"/>
  <c r="AZ8" i="1"/>
  <c r="AU106" i="1" l="1"/>
  <c r="AW110" i="1"/>
  <c r="AN113" i="1" s="1"/>
  <c r="AW93" i="1"/>
  <c r="AN96" i="1" s="1"/>
  <c r="AU89" i="1"/>
  <c r="AX42" i="1"/>
  <c r="AW38" i="1"/>
  <c r="AX25" i="1"/>
  <c r="AW21" i="1"/>
  <c r="AW25" i="1" s="1"/>
  <c r="AN28" i="1" s="1"/>
  <c r="AQ110" i="1"/>
  <c r="AQ89" i="1"/>
  <c r="AW76" i="1"/>
  <c r="AN79" i="1" s="1"/>
  <c r="AV72" i="1"/>
  <c r="AW59" i="1"/>
  <c r="AN62" i="1" s="1"/>
  <c r="AV55" i="1"/>
  <c r="AQ42" i="1"/>
  <c r="AV25" i="1"/>
  <c r="AU21" i="1"/>
  <c r="AY8" i="1"/>
  <c r="AW4" i="1"/>
  <c r="AU110" i="1" l="1"/>
  <c r="AT106" i="1"/>
  <c r="AQ113" i="1"/>
  <c r="AT89" i="1"/>
  <c r="AQ96" i="1"/>
  <c r="AU93" i="1"/>
  <c r="AW42" i="1"/>
  <c r="AU38" i="1"/>
  <c r="AQ93" i="1"/>
  <c r="AV76" i="1"/>
  <c r="AU72" i="1"/>
  <c r="AV59" i="1"/>
  <c r="AU55" i="1"/>
  <c r="AQ28" i="1"/>
  <c r="AU25" i="1"/>
  <c r="AT21" i="1"/>
  <c r="AU4" i="1"/>
  <c r="AQ11" i="1" s="1"/>
  <c r="AW8" i="1"/>
  <c r="AN11" i="1" s="1"/>
  <c r="AS106" i="1" l="1"/>
  <c r="AT110" i="1"/>
  <c r="AS89" i="1"/>
  <c r="AT93" i="1"/>
  <c r="AT38" i="1"/>
  <c r="AQ45" i="1"/>
  <c r="AU42" i="1"/>
  <c r="AQ79" i="1"/>
  <c r="AU76" i="1"/>
  <c r="AT72" i="1"/>
  <c r="AQ62" i="1"/>
  <c r="AU59" i="1"/>
  <c r="AT55" i="1"/>
  <c r="AT25" i="1"/>
  <c r="AS21" i="1"/>
  <c r="AT4" i="1"/>
  <c r="AU8" i="1"/>
  <c r="AR106" i="1" l="1"/>
  <c r="AS110" i="1"/>
  <c r="AR89" i="1"/>
  <c r="AS93" i="1"/>
  <c r="AT42" i="1"/>
  <c r="AS38" i="1"/>
  <c r="AT76" i="1"/>
  <c r="AS72" i="1"/>
  <c r="AT59" i="1"/>
  <c r="AS55" i="1"/>
  <c r="AR21" i="1"/>
  <c r="AS25" i="1"/>
  <c r="AS4" i="1"/>
  <c r="AT8" i="1"/>
  <c r="AR110" i="1" l="1"/>
  <c r="AP106" i="1"/>
  <c r="AR93" i="1"/>
  <c r="AP89" i="1"/>
  <c r="AR38" i="1"/>
  <c r="AS42" i="1"/>
  <c r="AL106" i="1"/>
  <c r="AR72" i="1"/>
  <c r="AS76" i="1"/>
  <c r="AS59" i="1"/>
  <c r="AR55" i="1"/>
  <c r="AL38" i="1"/>
  <c r="AR25" i="1"/>
  <c r="AQ21" i="1"/>
  <c r="AR4" i="1"/>
  <c r="AS8" i="1"/>
  <c r="AP110" i="1" l="1"/>
  <c r="AO106" i="1"/>
  <c r="AP93" i="1"/>
  <c r="AO89" i="1"/>
  <c r="AR42" i="1"/>
  <c r="AP38" i="1"/>
  <c r="AL110" i="1"/>
  <c r="AL89" i="1"/>
  <c r="AR76" i="1"/>
  <c r="AQ72" i="1"/>
  <c r="AR59" i="1"/>
  <c r="AQ55" i="1"/>
  <c r="AL42" i="1"/>
  <c r="AP21" i="1"/>
  <c r="AQ25" i="1"/>
  <c r="AP4" i="1"/>
  <c r="AR8" i="1"/>
  <c r="AO110" i="1" l="1"/>
  <c r="AN106" i="1"/>
  <c r="AN89" i="1"/>
  <c r="AO93" i="1"/>
  <c r="AP42" i="1"/>
  <c r="AO38" i="1"/>
  <c r="AL93" i="1"/>
  <c r="AQ76" i="1"/>
  <c r="AP72" i="1"/>
  <c r="AQ59" i="1"/>
  <c r="AP55" i="1"/>
  <c r="AP25" i="1"/>
  <c r="AO21" i="1"/>
  <c r="AP8" i="1"/>
  <c r="AO4" i="1"/>
  <c r="AN110" i="1" l="1"/>
  <c r="AM106" i="1"/>
  <c r="AN93" i="1"/>
  <c r="AM89" i="1"/>
  <c r="AO42" i="1"/>
  <c r="AN38" i="1"/>
  <c r="AO72" i="1"/>
  <c r="AP76" i="1"/>
  <c r="AP59" i="1"/>
  <c r="AO55" i="1"/>
  <c r="AO25" i="1"/>
  <c r="AN21" i="1"/>
  <c r="AN4" i="1"/>
  <c r="AO8" i="1"/>
  <c r="AM110" i="1" l="1"/>
  <c r="AK106" i="1"/>
  <c r="AM93" i="1"/>
  <c r="AK89" i="1"/>
  <c r="AN42" i="1"/>
  <c r="AM38" i="1"/>
  <c r="AO76" i="1"/>
  <c r="AN72" i="1"/>
  <c r="AO59" i="1"/>
  <c r="AN55" i="1"/>
  <c r="AN25" i="1"/>
  <c r="AM21" i="1"/>
  <c r="AN8" i="1"/>
  <c r="AM4" i="1"/>
  <c r="AK110" i="1" l="1"/>
  <c r="AJ106" i="1"/>
  <c r="AK93" i="1"/>
  <c r="AJ89" i="1"/>
  <c r="AM42" i="1"/>
  <c r="AK38" i="1"/>
  <c r="AM72" i="1"/>
  <c r="AN76" i="1"/>
  <c r="AM55" i="1"/>
  <c r="AN59" i="1"/>
  <c r="AL21" i="1"/>
  <c r="AM25" i="1"/>
  <c r="AK4" i="1"/>
  <c r="AM8" i="1"/>
  <c r="AJ110" i="1" l="1"/>
  <c r="AI106" i="1"/>
  <c r="AI89" i="1"/>
  <c r="AJ93" i="1"/>
  <c r="AJ38" i="1"/>
  <c r="AK42" i="1"/>
  <c r="AL72" i="1"/>
  <c r="AM76" i="1"/>
  <c r="AL55" i="1"/>
  <c r="AM59" i="1"/>
  <c r="AL25" i="1"/>
  <c r="AK21" i="1"/>
  <c r="AJ4" i="1"/>
  <c r="AK8" i="1"/>
  <c r="AI110" i="1" l="1"/>
  <c r="AH106" i="1"/>
  <c r="AI93" i="1"/>
  <c r="AH89" i="1"/>
  <c r="AJ42" i="1"/>
  <c r="AI38" i="1"/>
  <c r="AK72" i="1"/>
  <c r="AL76" i="1"/>
  <c r="AL59" i="1"/>
  <c r="AK55" i="1"/>
  <c r="AK25" i="1"/>
  <c r="AJ21" i="1"/>
  <c r="AI4" i="1"/>
  <c r="AJ8" i="1"/>
  <c r="AK113" i="1" l="1"/>
  <c r="AH110" i="1"/>
  <c r="AK96" i="1"/>
  <c r="AH93" i="1"/>
  <c r="AI42" i="1"/>
  <c r="AH38" i="1"/>
  <c r="AK76" i="1"/>
  <c r="AJ72" i="1"/>
  <c r="AK59" i="1"/>
  <c r="AJ55" i="1"/>
  <c r="AJ25" i="1"/>
  <c r="AI21" i="1"/>
  <c r="AH4" i="1"/>
  <c r="AI8" i="1"/>
  <c r="AQ116" i="1" l="1"/>
  <c r="AN116" i="1"/>
  <c r="BB110" i="1"/>
  <c r="AN99" i="1"/>
  <c r="AQ99" i="1"/>
  <c r="BB93" i="1"/>
  <c r="AH42" i="1"/>
  <c r="AJ76" i="1"/>
  <c r="AI72" i="1"/>
  <c r="AJ59" i="1"/>
  <c r="AI55" i="1"/>
  <c r="AI25" i="1"/>
  <c r="AH21" i="1"/>
  <c r="AH25" i="1" s="1"/>
  <c r="AH8" i="1"/>
  <c r="AK11" i="1"/>
  <c r="BD106" i="1" l="1"/>
  <c r="BJ105" i="1" s="1"/>
  <c r="AK116" i="1"/>
  <c r="AK99" i="1"/>
  <c r="BD89" i="1"/>
  <c r="BJ88" i="1" s="1"/>
  <c r="AQ48" i="1"/>
  <c r="BB42" i="1"/>
  <c r="AI76" i="1"/>
  <c r="AH72" i="1"/>
  <c r="AI59" i="1"/>
  <c r="AH55" i="1"/>
  <c r="AK28" i="1"/>
  <c r="BB8" i="1"/>
  <c r="AN14" i="1"/>
  <c r="AQ14" i="1"/>
  <c r="AK48" i="1" l="1"/>
  <c r="BD38" i="1"/>
  <c r="BJ37" i="1" s="1"/>
  <c r="AH76" i="1"/>
  <c r="AK79" i="1"/>
  <c r="AH59" i="1"/>
  <c r="AK62" i="1"/>
  <c r="BB25" i="1"/>
  <c r="AN31" i="1"/>
  <c r="AQ31" i="1"/>
  <c r="BD4" i="1"/>
  <c r="BJ3" i="1" s="1"/>
  <c r="AK14" i="1"/>
  <c r="AN82" i="1" l="1"/>
  <c r="BB76" i="1"/>
  <c r="AQ82" i="1"/>
  <c r="AN65" i="1"/>
  <c r="BB59" i="1"/>
  <c r="AQ65" i="1"/>
  <c r="BD21" i="1"/>
  <c r="BJ20" i="1" s="1"/>
  <c r="AK31" i="1"/>
  <c r="AK82" i="1" l="1"/>
  <c r="BD72" i="1"/>
  <c r="BJ71" i="1" s="1"/>
  <c r="BD55" i="1"/>
  <c r="BJ54" i="1" s="1"/>
  <c r="E13" i="1" l="1"/>
  <c r="E10" i="1"/>
  <c r="E9" i="1"/>
  <c r="E8" i="1"/>
  <c r="E12" i="1"/>
  <c r="J13" i="1" l="1"/>
  <c r="X13" i="1"/>
  <c r="Z13" i="1"/>
  <c r="AB13" i="1"/>
  <c r="K13" i="1"/>
  <c r="Y13" i="1"/>
  <c r="P13" i="1"/>
  <c r="I13" i="1"/>
  <c r="AA13" i="1"/>
  <c r="L13" i="1"/>
  <c r="N13" i="1"/>
  <c r="O13" i="1"/>
  <c r="Q13" i="1"/>
  <c r="S13" i="1"/>
  <c r="T13" i="1"/>
  <c r="U13" i="1"/>
  <c r="V13" i="1"/>
  <c r="Z12" i="1"/>
  <c r="AA12" i="1"/>
  <c r="AB12" i="1"/>
  <c r="AB9" i="1"/>
  <c r="AA9" i="1"/>
  <c r="Z9" i="1"/>
  <c r="AB8" i="1"/>
  <c r="Z8" i="1"/>
  <c r="AA8" i="1"/>
  <c r="Z10" i="1"/>
  <c r="AA10" i="1"/>
  <c r="AB10" i="1"/>
  <c r="Q12" i="1"/>
  <c r="U12" i="1"/>
  <c r="X12" i="1"/>
  <c r="Y12" i="1"/>
  <c r="L12" i="1"/>
  <c r="N12" i="1"/>
  <c r="P12" i="1"/>
  <c r="S12" i="1"/>
  <c r="V12" i="1"/>
  <c r="I12" i="1"/>
  <c r="J12" i="1"/>
  <c r="K12" i="1"/>
  <c r="T12" i="1"/>
  <c r="O12" i="1"/>
  <c r="E14" i="1"/>
  <c r="N8" i="1"/>
  <c r="S8" i="1"/>
  <c r="O8" i="1"/>
  <c r="T8" i="1"/>
  <c r="V8" i="1"/>
  <c r="X8" i="1"/>
  <c r="Y8" i="1"/>
  <c r="U8" i="1"/>
  <c r="I8" i="1"/>
  <c r="J8" i="1"/>
  <c r="K8" i="1"/>
  <c r="L8" i="1"/>
  <c r="P8" i="1"/>
  <c r="Q8" i="1"/>
  <c r="E16" i="1"/>
  <c r="J10" i="1"/>
  <c r="K10" i="1"/>
  <c r="Y10" i="1"/>
  <c r="T10" i="1"/>
  <c r="U10" i="1"/>
  <c r="L10" i="1"/>
  <c r="O10" i="1"/>
  <c r="P10" i="1"/>
  <c r="X10" i="1"/>
  <c r="Q10" i="1"/>
  <c r="S10" i="1"/>
  <c r="V10" i="1"/>
  <c r="I10" i="1"/>
  <c r="N10" i="1"/>
  <c r="N9" i="1"/>
  <c r="S9" i="1"/>
  <c r="T9" i="1"/>
  <c r="U9" i="1"/>
  <c r="V9" i="1"/>
  <c r="I9" i="1"/>
  <c r="K9" i="1"/>
  <c r="O9" i="1"/>
  <c r="E11" i="1"/>
  <c r="X9" i="1"/>
  <c r="P9" i="1"/>
  <c r="Q9" i="1"/>
  <c r="J9" i="1"/>
  <c r="Y9" i="1"/>
  <c r="L9" i="1"/>
  <c r="E15" i="1"/>
  <c r="AA15" i="1" l="1"/>
  <c r="AB15" i="1"/>
  <c r="Z15" i="1"/>
  <c r="AB16" i="1"/>
  <c r="Z16" i="1"/>
  <c r="AA16" i="1"/>
  <c r="AB14" i="1"/>
  <c r="Z14" i="1"/>
  <c r="AA14" i="1"/>
  <c r="AA11" i="1"/>
  <c r="AB11" i="1"/>
  <c r="Z11" i="1"/>
  <c r="E17" i="1"/>
  <c r="X17" i="1" s="1"/>
  <c r="S15" i="1"/>
  <c r="K15" i="1"/>
  <c r="Q15" i="1"/>
  <c r="T15" i="1"/>
  <c r="I15" i="1"/>
  <c r="X15" i="1"/>
  <c r="O15" i="1"/>
  <c r="U15" i="1"/>
  <c r="J15" i="1"/>
  <c r="Y15" i="1"/>
  <c r="L15" i="1"/>
  <c r="N15" i="1"/>
  <c r="P15" i="1"/>
  <c r="V15" i="1"/>
  <c r="O16" i="1"/>
  <c r="S16" i="1"/>
  <c r="U16" i="1"/>
  <c r="J16" i="1"/>
  <c r="K16" i="1"/>
  <c r="L16" i="1"/>
  <c r="P16" i="1"/>
  <c r="I16" i="1"/>
  <c r="Y16" i="1"/>
  <c r="N16" i="1"/>
  <c r="Q16" i="1"/>
  <c r="T16" i="1"/>
  <c r="V16" i="1"/>
  <c r="X16" i="1"/>
  <c r="I14" i="1"/>
  <c r="J14" i="1"/>
  <c r="X14" i="1"/>
  <c r="K14" i="1"/>
  <c r="Y14" i="1"/>
  <c r="N14" i="1"/>
  <c r="O14" i="1"/>
  <c r="Q14" i="1"/>
  <c r="U14" i="1"/>
  <c r="V14" i="1"/>
  <c r="L14" i="1"/>
  <c r="P14" i="1"/>
  <c r="S14" i="1"/>
  <c r="T14" i="1"/>
  <c r="K17" i="1"/>
  <c r="U11" i="1"/>
  <c r="O11" i="1"/>
  <c r="S11" i="1"/>
  <c r="V11" i="1"/>
  <c r="N11" i="1"/>
  <c r="Q11" i="1"/>
  <c r="I11" i="1"/>
  <c r="L11" i="1"/>
  <c r="P11" i="1"/>
  <c r="J11" i="1"/>
  <c r="X11" i="1"/>
  <c r="Y11" i="1"/>
  <c r="T11" i="1"/>
  <c r="K11" i="1"/>
  <c r="AA17" i="1" l="1"/>
  <c r="AB17" i="1"/>
  <c r="Z17" i="1"/>
  <c r="V17" i="1"/>
  <c r="N17" i="1"/>
  <c r="Q17" i="1"/>
  <c r="O17" i="1"/>
  <c r="U17" i="1"/>
  <c r="J17" i="1"/>
  <c r="T17" i="1"/>
  <c r="S17" i="1"/>
  <c r="I17" i="1"/>
  <c r="L17" i="1"/>
  <c r="P17" i="1"/>
  <c r="Y17" i="1"/>
</calcChain>
</file>

<file path=xl/sharedStrings.xml><?xml version="1.0" encoding="utf-8"?>
<sst xmlns="http://schemas.openxmlformats.org/spreadsheetml/2006/main" count="210" uniqueCount="73">
  <si>
    <t xml:space="preserve"> </t>
  </si>
  <si>
    <t>A =</t>
  </si>
  <si>
    <t>C =</t>
  </si>
  <si>
    <t>X1 =</t>
  </si>
  <si>
    <t>X2 =</t>
  </si>
  <si>
    <t>X3 =</t>
  </si>
  <si>
    <t>X4 =</t>
  </si>
  <si>
    <t>X5 =</t>
  </si>
  <si>
    <t>X6 =</t>
  </si>
  <si>
    <t>X7 =</t>
  </si>
  <si>
    <t>X8 =</t>
  </si>
  <si>
    <t>X9 =</t>
  </si>
  <si>
    <t>X10 =</t>
  </si>
  <si>
    <t>X11 =</t>
  </si>
  <si>
    <t>X12 =</t>
  </si>
  <si>
    <t xml:space="preserve">A + C = </t>
  </si>
  <si>
    <t xml:space="preserve">A + C + C = </t>
  </si>
  <si>
    <t>C - A =</t>
  </si>
  <si>
    <t>65536 - X4 =</t>
  </si>
  <si>
    <t>-X1 =</t>
  </si>
  <si>
    <t>-X2 =</t>
  </si>
  <si>
    <t>-X3 =</t>
  </si>
  <si>
    <t>-X4 =</t>
  </si>
  <si>
    <t>-X5 =</t>
  </si>
  <si>
    <t>-X6 =</t>
  </si>
  <si>
    <t>B1 =</t>
  </si>
  <si>
    <t>B2 =</t>
  </si>
  <si>
    <t>B3 =</t>
  </si>
  <si>
    <t>B4 =</t>
  </si>
  <si>
    <t>B5 =</t>
  </si>
  <si>
    <t>B6 =</t>
  </si>
  <si>
    <t>B7 =</t>
  </si>
  <si>
    <t>B8 =</t>
  </si>
  <si>
    <t>B9 =</t>
  </si>
  <si>
    <t>B10 =</t>
  </si>
  <si>
    <t>B11 =</t>
  </si>
  <si>
    <t>B12 =</t>
  </si>
  <si>
    <t>-B1 =</t>
  </si>
  <si>
    <t>-B2 =</t>
  </si>
  <si>
    <t>-B3 =</t>
  </si>
  <si>
    <t>-B4 =</t>
  </si>
  <si>
    <t>-B5 =</t>
  </si>
  <si>
    <t>-B6 =</t>
  </si>
  <si>
    <t>N =</t>
  </si>
  <si>
    <t>Входит ли число в ОДЗ?</t>
  </si>
  <si>
    <t>№ бита -&gt;</t>
  </si>
  <si>
    <t>+</t>
  </si>
  <si>
    <r>
      <t>B1</t>
    </r>
    <r>
      <rPr>
        <sz val="9"/>
        <color theme="1"/>
        <rFont val="Aptos Narrow (Основной текст)"/>
        <charset val="204"/>
      </rPr>
      <t>(2)</t>
    </r>
  </si>
  <si>
    <r>
      <t>B2</t>
    </r>
    <r>
      <rPr>
        <sz val="9"/>
        <color theme="1"/>
        <rFont val="Aptos Narrow (Основной текст)"/>
        <charset val="204"/>
      </rPr>
      <t>(2)</t>
    </r>
  </si>
  <si>
    <r>
      <t xml:space="preserve">(2) </t>
    </r>
    <r>
      <rPr>
        <sz val="12"/>
        <color theme="1"/>
        <rFont val="Aptos Narrow (Основной текст)"/>
        <charset val="204"/>
      </rPr>
      <t>=</t>
    </r>
  </si>
  <si>
    <t>(10)</t>
  </si>
  <si>
    <t>CF</t>
  </si>
  <si>
    <t>=</t>
  </si>
  <si>
    <t>PF</t>
  </si>
  <si>
    <t>AF</t>
  </si>
  <si>
    <t>ZF</t>
  </si>
  <si>
    <t>SF</t>
  </si>
  <si>
    <t>OF</t>
  </si>
  <si>
    <r>
      <t>X1</t>
    </r>
    <r>
      <rPr>
        <sz val="9"/>
        <color theme="1"/>
        <rFont val="Aptos Narrow (Основной текст)"/>
        <charset val="204"/>
      </rPr>
      <t>(10)</t>
    </r>
  </si>
  <si>
    <r>
      <t>X2</t>
    </r>
    <r>
      <rPr>
        <sz val="9"/>
        <color theme="1"/>
        <rFont val="Aptos Narrow (Основной текст)"/>
        <charset val="204"/>
      </rPr>
      <t>(10)</t>
    </r>
  </si>
  <si>
    <t>-------------------</t>
  </si>
  <si>
    <t>---------------------------------------------------------------------------------------------------------------------</t>
  </si>
  <si>
    <t xml:space="preserve"> (10)</t>
  </si>
  <si>
    <r>
      <t>B3</t>
    </r>
    <r>
      <rPr>
        <sz val="9"/>
        <color theme="1"/>
        <rFont val="Aptos Narrow (Основной текст)"/>
        <charset val="204"/>
      </rPr>
      <t>(2)</t>
    </r>
  </si>
  <si>
    <r>
      <t>X3</t>
    </r>
    <r>
      <rPr>
        <sz val="9"/>
        <color theme="1"/>
        <rFont val="Aptos Narrow (Основной текст)"/>
        <charset val="204"/>
      </rPr>
      <t>(10)</t>
    </r>
  </si>
  <si>
    <r>
      <t>B7</t>
    </r>
    <r>
      <rPr>
        <sz val="9"/>
        <color theme="1"/>
        <rFont val="Aptos Narrow (Основной текст)"/>
        <charset val="204"/>
      </rPr>
      <t>(2)</t>
    </r>
  </si>
  <si>
    <r>
      <t>X7</t>
    </r>
    <r>
      <rPr>
        <sz val="9"/>
        <color theme="1"/>
        <rFont val="Aptos Narrow (Основной текст)"/>
        <charset val="204"/>
      </rPr>
      <t>(10)</t>
    </r>
  </si>
  <si>
    <r>
      <t>B8</t>
    </r>
    <r>
      <rPr>
        <sz val="9"/>
        <color theme="1"/>
        <rFont val="Aptos Narrow (Основной текст)"/>
        <charset val="204"/>
      </rPr>
      <t>(2)</t>
    </r>
  </si>
  <si>
    <r>
      <t>X8</t>
    </r>
    <r>
      <rPr>
        <sz val="9"/>
        <color theme="1"/>
        <rFont val="Aptos Narrow (Основной текст)"/>
        <charset val="204"/>
      </rPr>
      <t>(10)</t>
    </r>
  </si>
  <si>
    <r>
      <t>B9</t>
    </r>
    <r>
      <rPr>
        <sz val="9"/>
        <color theme="1"/>
        <rFont val="Aptos Narrow (Основной текст)"/>
        <charset val="204"/>
      </rPr>
      <t>(2)</t>
    </r>
  </si>
  <si>
    <r>
      <t>X9</t>
    </r>
    <r>
      <rPr>
        <sz val="9"/>
        <color theme="1"/>
        <rFont val="Aptos Narrow (Основной текст)"/>
        <charset val="204"/>
      </rPr>
      <t>(10)</t>
    </r>
  </si>
  <si>
    <r>
      <t>B11</t>
    </r>
    <r>
      <rPr>
        <sz val="9"/>
        <color theme="1"/>
        <rFont val="Aptos Narrow (Основной текст)"/>
        <charset val="204"/>
      </rPr>
      <t>(2)</t>
    </r>
  </si>
  <si>
    <r>
      <t>X11</t>
    </r>
    <r>
      <rPr>
        <sz val="9"/>
        <color theme="1"/>
        <rFont val="Aptos Narrow (Основной текст)"/>
        <charset val="204"/>
      </rPr>
      <t>(10)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</si>
</sst>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204"/>
      <scheme val="minor"/>
    </font>
    <font>
      <sz val="9"/>
      <color theme="1"/>
      <name val="Aptos Narrow (Основной текст)"/>
      <charset val="204"/>
    </font>
    <font>
      <sz val="12"/>
      <color theme="1"/>
      <name val="Aptos Narrow (Основной текст)"/>
      <charset val="204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6" xfId="0" applyBorder="1"/>
    <xf numFmtId="0" fontId="0" fillId="0" borderId="0" xfId="0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7" xfId="0" applyFill="1" applyBorder="1"/>
    <xf numFmtId="0" fontId="0" fillId="3" borderId="0" xfId="0" applyFill="1"/>
    <xf numFmtId="0" fontId="0" fillId="3" borderId="6" xfId="0" applyFill="1" applyBorder="1" applyAlignment="1">
      <alignment horizontal="center"/>
    </xf>
    <xf numFmtId="0" fontId="0" fillId="3" borderId="12" xfId="0" applyFill="1" applyBorder="1" applyAlignment="1">
      <alignment horizontal="center" vertical="center"/>
    </xf>
    <xf numFmtId="0" fontId="0" fillId="3" borderId="10" xfId="0" applyFill="1" applyBorder="1" applyAlignment="1">
      <alignment horizontal="right"/>
    </xf>
    <xf numFmtId="0" fontId="0" fillId="3" borderId="6" xfId="0" applyFill="1" applyBorder="1"/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right"/>
    </xf>
    <xf numFmtId="0" fontId="0" fillId="3" borderId="2" xfId="0" applyFill="1" applyBorder="1"/>
    <xf numFmtId="0" fontId="0" fillId="3" borderId="7" xfId="0" applyFill="1" applyBorder="1" applyAlignment="1">
      <alignment horizontal="right"/>
    </xf>
    <xf numFmtId="0" fontId="0" fillId="3" borderId="3" xfId="0" applyFill="1" applyBorder="1"/>
    <xf numFmtId="0" fontId="0" fillId="3" borderId="8" xfId="0" applyFill="1" applyBorder="1"/>
    <xf numFmtId="0" fontId="0" fillId="3" borderId="4" xfId="0" applyFill="1" applyBorder="1"/>
    <xf numFmtId="0" fontId="0" fillId="3" borderId="9" xfId="0" applyFill="1" applyBorder="1"/>
    <xf numFmtId="0" fontId="0" fillId="3" borderId="9" xfId="0" applyFill="1" applyBorder="1" applyAlignment="1">
      <alignment horizontal="center"/>
    </xf>
    <xf numFmtId="0" fontId="1" fillId="3" borderId="9" xfId="0" quotePrefix="1" applyFont="1" applyFill="1" applyBorder="1"/>
    <xf numFmtId="0" fontId="1" fillId="3" borderId="5" xfId="0" quotePrefix="1" applyFont="1" applyFill="1" applyBorder="1"/>
    <xf numFmtId="0" fontId="0" fillId="3" borderId="8" xfId="0" applyFill="1" applyBorder="1" applyAlignment="1">
      <alignment horizontal="center" vertical="center"/>
    </xf>
    <xf numFmtId="0" fontId="0" fillId="3" borderId="5" xfId="0" applyFill="1" applyBorder="1"/>
    <xf numFmtId="0" fontId="0" fillId="3" borderId="8" xfId="0" applyFill="1" applyBorder="1" applyAlignment="1">
      <alignment horizontal="center"/>
    </xf>
    <xf numFmtId="0" fontId="0" fillId="0" borderId="13" xfId="0" applyBorder="1"/>
    <xf numFmtId="0" fontId="0" fillId="3" borderId="12" xfId="0" applyFill="1" applyBorder="1"/>
    <xf numFmtId="0" fontId="0" fillId="3" borderId="5" xfId="0" applyFill="1" applyBorder="1" applyAlignment="1">
      <alignment horizontal="center" vertical="center"/>
    </xf>
    <xf numFmtId="0" fontId="0" fillId="3" borderId="2" xfId="0" applyFill="1" applyBorder="1" applyAlignment="1">
      <alignment horizontal="right"/>
    </xf>
    <xf numFmtId="0" fontId="0" fillId="3" borderId="11" xfId="0" applyFill="1" applyBorder="1" applyAlignment="1">
      <alignment horizontal="center" vertical="center"/>
    </xf>
    <xf numFmtId="49" fontId="0" fillId="3" borderId="12" xfId="0" applyNumberFormat="1" applyFill="1" applyBorder="1" applyAlignment="1">
      <alignment horizontal="right"/>
    </xf>
    <xf numFmtId="0" fontId="0" fillId="3" borderId="4" xfId="0" applyFill="1" applyBorder="1" applyAlignment="1">
      <alignment horizontal="right"/>
    </xf>
    <xf numFmtId="49" fontId="0" fillId="3" borderId="9" xfId="0" applyNumberFormat="1" applyFill="1" applyBorder="1" applyAlignment="1">
      <alignment horizontal="right"/>
    </xf>
    <xf numFmtId="0" fontId="0" fillId="3" borderId="9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6" xfId="0" applyFill="1" applyBorder="1" applyAlignment="1">
      <alignment horizontal="right"/>
    </xf>
    <xf numFmtId="0" fontId="0" fillId="3" borderId="3" xfId="0" applyFill="1" applyBorder="1" applyAlignment="1">
      <alignment horizontal="left"/>
    </xf>
    <xf numFmtId="0" fontId="0" fillId="3" borderId="12" xfId="0" applyFill="1" applyBorder="1" applyAlignment="1">
      <alignment horizontal="right"/>
    </xf>
    <xf numFmtId="0" fontId="0" fillId="3" borderId="11" xfId="0" applyFill="1" applyBorder="1" applyAlignment="1">
      <alignment horizontal="left"/>
    </xf>
    <xf numFmtId="0" fontId="0" fillId="3" borderId="8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5" xfId="0" applyFill="1" applyBorder="1" applyAlignment="1">
      <alignment horizontal="center"/>
    </xf>
    <xf numFmtId="0" fontId="0" fillId="4" borderId="2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9" xfId="0" applyFill="1" applyBorder="1"/>
    <xf numFmtId="0" fontId="0" fillId="4" borderId="0" xfId="0" applyFill="1"/>
    <xf numFmtId="0" fontId="0" fillId="4" borderId="3" xfId="0" applyFill="1" applyBorder="1"/>
    <xf numFmtId="0" fontId="0" fillId="4" borderId="13" xfId="0" applyFill="1" applyBorder="1"/>
    <xf numFmtId="0" fontId="0" fillId="4" borderId="4" xfId="0" applyFill="1" applyBorder="1"/>
    <xf numFmtId="0" fontId="0" fillId="4" borderId="8" xfId="0" applyFill="1" applyBorder="1"/>
    <xf numFmtId="0" fontId="0" fillId="4" borderId="5" xfId="0" applyFill="1" applyBorder="1"/>
    <xf numFmtId="0" fontId="0" fillId="4" borderId="0" xfId="0" applyFill="1" applyAlignment="1">
      <alignment horizontal="center"/>
    </xf>
    <xf numFmtId="0" fontId="0" fillId="4" borderId="0" xfId="0" applyFill="1" applyAlignment="1">
      <alignment horizontal="right"/>
    </xf>
    <xf numFmtId="0" fontId="0" fillId="4" borderId="0" xfId="0" applyFill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5" borderId="11" xfId="0" applyFill="1" applyBorder="1" applyAlignment="1">
      <alignment horizontal="left"/>
    </xf>
    <xf numFmtId="0" fontId="0" fillId="5" borderId="11" xfId="0" applyFill="1" applyBorder="1" applyAlignment="1">
      <alignment horizontal="left" vertical="center"/>
    </xf>
    <xf numFmtId="0" fontId="0" fillId="5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10" xfId="0" applyFill="1" applyBorder="1" applyAlignment="1">
      <alignment horizontal="right"/>
    </xf>
    <xf numFmtId="0" fontId="0" fillId="3" borderId="0" xfId="0" quotePrefix="1" applyFill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3" borderId="1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2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</cellXfs>
  <cellStyles count="1">
    <cellStyle name="Обычный" xfId="0" builtinId="0"/>
  </cellStyles>
  <dxfs count="30"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F3FCB-88CC-A04B-A244-BA7B975AC6BE}">
  <dimension ref="B1:BM118"/>
  <sheetViews>
    <sheetView tabSelected="1" zoomScale="125" zoomScaleNormal="125" workbookViewId="0"/>
  </sheetViews>
  <sheetFormatPr baseColWidth="10" defaultRowHeight="16" x14ac:dyDescent="0.2"/>
  <cols>
    <col min="1" max="1" width="2.83203125" customWidth="1"/>
    <col min="2" max="2" width="3.33203125" customWidth="1"/>
    <col min="3" max="3" width="6" customWidth="1"/>
    <col min="4" max="4" width="10.83203125" customWidth="1"/>
    <col min="5" max="5" width="8.1640625" customWidth="1"/>
    <col min="6" max="6" width="3.33203125" customWidth="1"/>
    <col min="7" max="7" width="6" style="2" customWidth="1"/>
    <col min="8" max="8" width="5" style="2" customWidth="1"/>
    <col min="9" max="26" width="3.5" style="2" customWidth="1"/>
    <col min="27" max="27" width="3.5" customWidth="1"/>
    <col min="28" max="28" width="23.5" customWidth="1"/>
    <col min="29" max="29" width="3.33203125" customWidth="1"/>
    <col min="30" max="30" width="10.33203125" customWidth="1"/>
    <col min="31" max="31" width="3.33203125" customWidth="1"/>
    <col min="32" max="32" width="3.5" customWidth="1"/>
    <col min="33" max="33" width="5.83203125" customWidth="1"/>
    <col min="34" max="49" width="3.5" customWidth="1"/>
    <col min="50" max="50" width="3.83203125" customWidth="1"/>
    <col min="51" max="51" width="3.5" customWidth="1"/>
    <col min="52" max="52" width="3.33203125" customWidth="1"/>
    <col min="53" max="53" width="3.83203125" customWidth="1"/>
    <col min="54" max="54" width="7.5" customWidth="1"/>
    <col min="55" max="55" width="4.5" customWidth="1"/>
    <col min="56" max="56" width="8.1640625" customWidth="1"/>
    <col min="57" max="57" width="3.5" customWidth="1"/>
    <col min="58" max="58" width="5.83203125" customWidth="1"/>
    <col min="59" max="59" width="7" customWidth="1"/>
    <col min="60" max="60" width="4.5" customWidth="1"/>
    <col min="61" max="61" width="3.33203125" customWidth="1"/>
    <col min="62" max="64" width="12.6640625" customWidth="1"/>
    <col min="65" max="65" width="3.33203125" customWidth="1"/>
  </cols>
  <sheetData>
    <row r="1" spans="2:65" ht="16" customHeight="1" x14ac:dyDescent="0.2"/>
    <row r="2" spans="2:65" ht="16" customHeight="1" x14ac:dyDescent="0.2">
      <c r="B2" s="43"/>
      <c r="C2" s="1"/>
      <c r="D2" s="44"/>
      <c r="E2" s="44"/>
      <c r="F2" s="44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44"/>
      <c r="AB2" s="44"/>
      <c r="AC2" s="48"/>
      <c r="AE2" s="43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44"/>
      <c r="BI2" s="44"/>
      <c r="BJ2" s="44"/>
      <c r="BK2" s="44"/>
      <c r="BL2" s="44"/>
      <c r="BM2" s="48"/>
    </row>
    <row r="3" spans="2:65" ht="16" customHeight="1" x14ac:dyDescent="0.2">
      <c r="B3" s="45"/>
      <c r="C3" s="47" t="s">
        <v>0</v>
      </c>
      <c r="D3" s="62" t="s">
        <v>1</v>
      </c>
      <c r="E3" s="58">
        <v>5811</v>
      </c>
      <c r="F3" s="54"/>
      <c r="G3" s="47"/>
      <c r="H3" s="47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 t="s">
        <v>0</v>
      </c>
      <c r="AA3" s="61" t="s">
        <v>43</v>
      </c>
      <c r="AB3" s="59">
        <v>16</v>
      </c>
      <c r="AC3" s="51"/>
      <c r="AE3" s="45"/>
      <c r="AF3" s="46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47"/>
      <c r="AY3" s="47"/>
      <c r="AZ3" s="47"/>
      <c r="BA3" s="47"/>
      <c r="BB3" s="47"/>
      <c r="BC3" s="47"/>
      <c r="BD3" s="47"/>
      <c r="BE3" s="47"/>
      <c r="BF3" s="47"/>
      <c r="BG3" s="47"/>
      <c r="BH3" s="47"/>
      <c r="BI3" s="47"/>
      <c r="BJ3" s="67" t="str">
        <f>"При сложении "&amp;
IF(AND(AH5=0,AH6=0),"двух положительных слагаемых",IF(AND(AH5=1,AH6=1),"двух отрицательных слагаемых","положительного и отрицательного слагаемого"))&amp;
" получено "&amp;
IF(AH8=0,"положительное число. ","отрицательное число. ")&amp;
IF(BD4="=","Результат выполнения операции верный и корректный, совпадает с суммой десятичных эквивалентов.","Результат выполнения операции не совпадает с суммой десяитчных эквивалентов, так как произошло переполнение.")</f>
        <v>При сложении двух положительных слагаемых получено положительное число. Результат выполнения операции верный и корректный, совпадает с суммой десятичных эквивалентов.</v>
      </c>
      <c r="BK3" s="68"/>
      <c r="BL3" s="69"/>
      <c r="BM3" s="51"/>
    </row>
    <row r="4" spans="2:65" x14ac:dyDescent="0.2">
      <c r="B4" s="45"/>
      <c r="C4" s="47"/>
      <c r="D4" s="62" t="s">
        <v>2</v>
      </c>
      <c r="E4" s="58">
        <v>15553</v>
      </c>
      <c r="F4" s="47"/>
      <c r="G4" s="54"/>
      <c r="H4" s="47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61"/>
      <c r="AB4" s="60" t="str">
        <f>"ОДЗ: от "&amp;-(2^(AB3-1))&amp;" до "&amp;(2^(AB3-1))-1</f>
        <v>ОДЗ: от -32768 до 32767</v>
      </c>
      <c r="AC4" s="51"/>
      <c r="AE4" s="49"/>
      <c r="AF4" s="14"/>
      <c r="AG4" s="16"/>
      <c r="AH4" s="7">
        <f t="shared" ref="AH4:AZ4" si="0">IF(AH5=".","",IF(AI5=".",IF(AJ5+AJ6+AJ4&gt;=2,1,0),IF(AI5+AI6+AI4&gt;=2,1,0)))</f>
        <v>0</v>
      </c>
      <c r="AI4" s="7">
        <f t="shared" si="0"/>
        <v>1</v>
      </c>
      <c r="AJ4" s="7">
        <f t="shared" si="0"/>
        <v>1</v>
      </c>
      <c r="AK4" s="7">
        <f t="shared" si="0"/>
        <v>1</v>
      </c>
      <c r="AL4" s="7" t="str">
        <f t="shared" si="0"/>
        <v/>
      </c>
      <c r="AM4" s="7">
        <f t="shared" si="0"/>
        <v>1</v>
      </c>
      <c r="AN4" s="7">
        <f t="shared" si="0"/>
        <v>0</v>
      </c>
      <c r="AO4" s="7">
        <f t="shared" si="0"/>
        <v>0</v>
      </c>
      <c r="AP4" s="7">
        <f t="shared" si="0"/>
        <v>1</v>
      </c>
      <c r="AQ4" s="7" t="str">
        <f t="shared" si="0"/>
        <v/>
      </c>
      <c r="AR4" s="7">
        <f t="shared" si="0"/>
        <v>0</v>
      </c>
      <c r="AS4" s="7">
        <f t="shared" si="0"/>
        <v>0</v>
      </c>
      <c r="AT4" s="7">
        <f t="shared" si="0"/>
        <v>0</v>
      </c>
      <c r="AU4" s="7">
        <f t="shared" si="0"/>
        <v>0</v>
      </c>
      <c r="AV4" s="7" t="str">
        <f t="shared" si="0"/>
        <v/>
      </c>
      <c r="AW4" s="7">
        <f t="shared" si="0"/>
        <v>0</v>
      </c>
      <c r="AX4" s="7">
        <f t="shared" si="0"/>
        <v>1</v>
      </c>
      <c r="AY4" s="7">
        <f t="shared" si="0"/>
        <v>1</v>
      </c>
      <c r="AZ4" s="7">
        <f t="shared" si="0"/>
        <v>0</v>
      </c>
      <c r="BA4" s="10"/>
      <c r="BB4" s="10"/>
      <c r="BC4" s="16"/>
      <c r="BD4" s="64" t="str">
        <f>IF(BB8=BG8,"=","!=")</f>
        <v>=</v>
      </c>
      <c r="BE4" s="14"/>
      <c r="BF4" s="16"/>
      <c r="BG4" s="10"/>
      <c r="BH4" s="16"/>
      <c r="BI4" s="47"/>
      <c r="BJ4" s="70"/>
      <c r="BK4" s="71"/>
      <c r="BL4" s="72"/>
      <c r="BM4" s="51"/>
    </row>
    <row r="5" spans="2:65" ht="17" customHeight="1" x14ac:dyDescent="0.2">
      <c r="B5" s="45"/>
      <c r="C5" s="47"/>
      <c r="D5" s="47"/>
      <c r="E5" s="47"/>
      <c r="F5" s="47"/>
      <c r="G5" s="65" t="s">
        <v>45</v>
      </c>
      <c r="H5" s="66"/>
      <c r="I5" s="8">
        <v>15</v>
      </c>
      <c r="J5" s="8">
        <v>14</v>
      </c>
      <c r="K5" s="8">
        <v>13</v>
      </c>
      <c r="L5" s="8">
        <v>12</v>
      </c>
      <c r="M5" s="3"/>
      <c r="N5" s="8">
        <v>11</v>
      </c>
      <c r="O5" s="8">
        <v>10</v>
      </c>
      <c r="P5" s="8">
        <v>9</v>
      </c>
      <c r="Q5" s="8">
        <v>8</v>
      </c>
      <c r="R5" s="3"/>
      <c r="S5" s="8">
        <v>7</v>
      </c>
      <c r="T5" s="8">
        <v>6</v>
      </c>
      <c r="U5" s="8">
        <v>5</v>
      </c>
      <c r="V5" s="8">
        <v>4</v>
      </c>
      <c r="W5" s="3"/>
      <c r="X5" s="8">
        <v>3</v>
      </c>
      <c r="Y5" s="8">
        <v>2</v>
      </c>
      <c r="Z5" s="8">
        <v>1</v>
      </c>
      <c r="AA5" s="28">
        <v>0</v>
      </c>
      <c r="AB5" s="35" t="s">
        <v>44</v>
      </c>
      <c r="AC5" s="51"/>
      <c r="AE5" s="49"/>
      <c r="AF5" s="5"/>
      <c r="AG5" s="23" t="s">
        <v>47</v>
      </c>
      <c r="AH5" s="12">
        <f t="shared" ref="AH5:AQ6" si="1">I6</f>
        <v>0</v>
      </c>
      <c r="AI5" s="12">
        <f t="shared" si="1"/>
        <v>0</v>
      </c>
      <c r="AJ5" s="12">
        <f t="shared" si="1"/>
        <v>0</v>
      </c>
      <c r="AK5" s="12">
        <f t="shared" si="1"/>
        <v>1</v>
      </c>
      <c r="AL5" s="12" t="str">
        <f t="shared" si="1"/>
        <v>.</v>
      </c>
      <c r="AM5" s="12">
        <f t="shared" si="1"/>
        <v>0</v>
      </c>
      <c r="AN5" s="12">
        <f t="shared" si="1"/>
        <v>1</v>
      </c>
      <c r="AO5" s="12">
        <f t="shared" si="1"/>
        <v>1</v>
      </c>
      <c r="AP5" s="12">
        <f t="shared" si="1"/>
        <v>0</v>
      </c>
      <c r="AQ5" s="12" t="str">
        <f t="shared" si="1"/>
        <v>.</v>
      </c>
      <c r="AR5" s="12">
        <f t="shared" ref="AR5:AZ6" si="2">S6</f>
        <v>1</v>
      </c>
      <c r="AS5" s="12">
        <f t="shared" si="2"/>
        <v>0</v>
      </c>
      <c r="AT5" s="12">
        <f t="shared" si="2"/>
        <v>1</v>
      </c>
      <c r="AU5" s="12">
        <f t="shared" si="2"/>
        <v>1</v>
      </c>
      <c r="AV5" s="12" t="str">
        <f t="shared" si="2"/>
        <v>.</v>
      </c>
      <c r="AW5" s="12">
        <f t="shared" si="2"/>
        <v>0</v>
      </c>
      <c r="AX5" s="12">
        <f t="shared" si="2"/>
        <v>0</v>
      </c>
      <c r="AY5" s="12">
        <f t="shared" si="2"/>
        <v>1</v>
      </c>
      <c r="AZ5" s="12">
        <f t="shared" si="2"/>
        <v>1</v>
      </c>
      <c r="BA5" s="6"/>
      <c r="BB5" s="6"/>
      <c r="BC5" s="17"/>
      <c r="BD5" s="64"/>
      <c r="BE5" s="5"/>
      <c r="BF5" s="25" t="s">
        <v>58</v>
      </c>
      <c r="BG5" s="12">
        <f>E6</f>
        <v>5811</v>
      </c>
      <c r="BH5" s="17"/>
      <c r="BI5" s="47"/>
      <c r="BJ5" s="70"/>
      <c r="BK5" s="71"/>
      <c r="BL5" s="72"/>
      <c r="BM5" s="51"/>
    </row>
    <row r="6" spans="2:65" x14ac:dyDescent="0.2">
      <c r="B6" s="45"/>
      <c r="C6" s="29" t="s">
        <v>3</v>
      </c>
      <c r="D6" s="36" t="s">
        <v>1</v>
      </c>
      <c r="E6" s="37">
        <f>E3</f>
        <v>5811</v>
      </c>
      <c r="F6" s="47"/>
      <c r="G6" s="29" t="s">
        <v>25</v>
      </c>
      <c r="H6" s="10"/>
      <c r="I6" s="8">
        <f t="shared" ref="I6:R17" si="3">IF(I$5="", ".", MOD(INT($E6/(2^I$5)), 2))</f>
        <v>0</v>
      </c>
      <c r="J6" s="11">
        <f t="shared" si="3"/>
        <v>0</v>
      </c>
      <c r="K6" s="11">
        <f t="shared" si="3"/>
        <v>0</v>
      </c>
      <c r="L6" s="11">
        <f t="shared" si="3"/>
        <v>1</v>
      </c>
      <c r="M6" s="11" t="str">
        <f t="shared" si="3"/>
        <v>.</v>
      </c>
      <c r="N6" s="11">
        <f t="shared" si="3"/>
        <v>0</v>
      </c>
      <c r="O6" s="11">
        <f t="shared" si="3"/>
        <v>1</v>
      </c>
      <c r="P6" s="11">
        <f t="shared" si="3"/>
        <v>1</v>
      </c>
      <c r="Q6" s="11">
        <f t="shared" si="3"/>
        <v>0</v>
      </c>
      <c r="R6" s="11" t="str">
        <f t="shared" si="3"/>
        <v>.</v>
      </c>
      <c r="S6" s="11">
        <f t="shared" ref="S6:AA17" si="4">IF(S$5="", ".", MOD(INT($E6/(2^S$5)), 2))</f>
        <v>1</v>
      </c>
      <c r="T6" s="11">
        <f t="shared" si="4"/>
        <v>0</v>
      </c>
      <c r="U6" s="11">
        <f t="shared" si="4"/>
        <v>1</v>
      </c>
      <c r="V6" s="11">
        <f t="shared" si="4"/>
        <v>1</v>
      </c>
      <c r="W6" s="11" t="str">
        <f t="shared" si="4"/>
        <v>.</v>
      </c>
      <c r="X6" s="11">
        <f t="shared" si="4"/>
        <v>0</v>
      </c>
      <c r="Y6" s="11">
        <f t="shared" si="4"/>
        <v>0</v>
      </c>
      <c r="Z6" s="11">
        <f t="shared" si="4"/>
        <v>1</v>
      </c>
      <c r="AA6" s="11">
        <f t="shared" si="4"/>
        <v>1</v>
      </c>
      <c r="AB6" s="4" t="str">
        <f t="shared" ref="AB6:AB17" si="5">IF(AND($E6&gt;=-32768,$E6&lt;=32767),"Да","Нет")</f>
        <v>Да</v>
      </c>
      <c r="AC6" s="51"/>
      <c r="AE6" s="49"/>
      <c r="AF6" s="15" t="s">
        <v>46</v>
      </c>
      <c r="AG6" s="23" t="s">
        <v>48</v>
      </c>
      <c r="AH6" s="12">
        <f t="shared" si="1"/>
        <v>0</v>
      </c>
      <c r="AI6" s="12">
        <f t="shared" si="1"/>
        <v>0</v>
      </c>
      <c r="AJ6" s="12">
        <f t="shared" si="1"/>
        <v>1</v>
      </c>
      <c r="AK6" s="12">
        <f t="shared" si="1"/>
        <v>1</v>
      </c>
      <c r="AL6" s="12" t="str">
        <f t="shared" si="1"/>
        <v>.</v>
      </c>
      <c r="AM6" s="12">
        <f t="shared" si="1"/>
        <v>1</v>
      </c>
      <c r="AN6" s="12">
        <f t="shared" si="1"/>
        <v>1</v>
      </c>
      <c r="AO6" s="12">
        <f t="shared" si="1"/>
        <v>0</v>
      </c>
      <c r="AP6" s="12">
        <f t="shared" si="1"/>
        <v>0</v>
      </c>
      <c r="AQ6" s="12" t="str">
        <f t="shared" si="1"/>
        <v>.</v>
      </c>
      <c r="AR6" s="12">
        <f t="shared" si="2"/>
        <v>1</v>
      </c>
      <c r="AS6" s="12">
        <f t="shared" si="2"/>
        <v>1</v>
      </c>
      <c r="AT6" s="12">
        <f t="shared" si="2"/>
        <v>0</v>
      </c>
      <c r="AU6" s="12">
        <f t="shared" si="2"/>
        <v>0</v>
      </c>
      <c r="AV6" s="12" t="str">
        <f t="shared" si="2"/>
        <v>.</v>
      </c>
      <c r="AW6" s="12">
        <f t="shared" si="2"/>
        <v>0</v>
      </c>
      <c r="AX6" s="12">
        <f t="shared" si="2"/>
        <v>0</v>
      </c>
      <c r="AY6" s="12">
        <f t="shared" si="2"/>
        <v>0</v>
      </c>
      <c r="AZ6" s="12">
        <f t="shared" si="2"/>
        <v>1</v>
      </c>
      <c r="BA6" s="6"/>
      <c r="BB6" s="6"/>
      <c r="BC6" s="17"/>
      <c r="BD6" s="64"/>
      <c r="BE6" s="15" t="s">
        <v>46</v>
      </c>
      <c r="BF6" s="25" t="s">
        <v>59</v>
      </c>
      <c r="BG6" s="12">
        <f>E7</f>
        <v>15553</v>
      </c>
      <c r="BH6" s="17"/>
      <c r="BI6" s="47"/>
      <c r="BJ6" s="70"/>
      <c r="BK6" s="71"/>
      <c r="BL6" s="72"/>
      <c r="BM6" s="51"/>
    </row>
    <row r="7" spans="2:65" x14ac:dyDescent="0.2">
      <c r="B7" s="45"/>
      <c r="C7" s="29" t="s">
        <v>4</v>
      </c>
      <c r="D7" s="36" t="s">
        <v>2</v>
      </c>
      <c r="E7" s="37">
        <f>E4</f>
        <v>15553</v>
      </c>
      <c r="F7" s="47"/>
      <c r="G7" s="9" t="s">
        <v>26</v>
      </c>
      <c r="H7" s="27"/>
      <c r="I7" s="8">
        <f t="shared" si="3"/>
        <v>0</v>
      </c>
      <c r="J7" s="8">
        <f t="shared" si="3"/>
        <v>0</v>
      </c>
      <c r="K7" s="8">
        <f t="shared" si="3"/>
        <v>1</v>
      </c>
      <c r="L7" s="8">
        <f t="shared" si="3"/>
        <v>1</v>
      </c>
      <c r="M7" s="8" t="str">
        <f t="shared" si="3"/>
        <v>.</v>
      </c>
      <c r="N7" s="8">
        <f t="shared" si="3"/>
        <v>1</v>
      </c>
      <c r="O7" s="8">
        <f t="shared" si="3"/>
        <v>1</v>
      </c>
      <c r="P7" s="8">
        <f t="shared" si="3"/>
        <v>0</v>
      </c>
      <c r="Q7" s="8">
        <f t="shared" si="3"/>
        <v>0</v>
      </c>
      <c r="R7" s="8" t="str">
        <f t="shared" si="3"/>
        <v>.</v>
      </c>
      <c r="S7" s="8">
        <f t="shared" si="4"/>
        <v>1</v>
      </c>
      <c r="T7" s="8">
        <f t="shared" si="4"/>
        <v>1</v>
      </c>
      <c r="U7" s="8">
        <f t="shared" si="4"/>
        <v>0</v>
      </c>
      <c r="V7" s="8">
        <f t="shared" si="4"/>
        <v>0</v>
      </c>
      <c r="W7" s="8" t="str">
        <f t="shared" si="4"/>
        <v>.</v>
      </c>
      <c r="X7" s="8">
        <f t="shared" si="4"/>
        <v>0</v>
      </c>
      <c r="Y7" s="8">
        <f t="shared" si="4"/>
        <v>0</v>
      </c>
      <c r="Z7" s="8">
        <f t="shared" si="4"/>
        <v>0</v>
      </c>
      <c r="AA7" s="30">
        <f t="shared" si="4"/>
        <v>1</v>
      </c>
      <c r="AB7" s="4" t="str">
        <f t="shared" si="5"/>
        <v>Да</v>
      </c>
      <c r="AC7" s="51"/>
      <c r="AE7" s="49"/>
      <c r="AF7" s="5"/>
      <c r="AG7" s="63" t="s">
        <v>61</v>
      </c>
      <c r="AH7" s="63"/>
      <c r="AI7" s="63"/>
      <c r="AJ7" s="63"/>
      <c r="AK7" s="63"/>
      <c r="AL7" s="63"/>
      <c r="AM7" s="63"/>
      <c r="AN7" s="63"/>
      <c r="AO7" s="63"/>
      <c r="AP7" s="63"/>
      <c r="AQ7" s="63"/>
      <c r="AR7" s="63"/>
      <c r="AS7" s="63"/>
      <c r="AT7" s="63"/>
      <c r="AU7" s="63"/>
      <c r="AV7" s="63"/>
      <c r="AW7" s="63"/>
      <c r="AX7" s="63"/>
      <c r="AY7" s="63"/>
      <c r="AZ7" s="63"/>
      <c r="BA7" s="6"/>
      <c r="BB7" s="6"/>
      <c r="BC7" s="17"/>
      <c r="BD7" s="64"/>
      <c r="BE7" s="15"/>
      <c r="BF7" s="63" t="s">
        <v>60</v>
      </c>
      <c r="BG7" s="63"/>
      <c r="BH7" s="17"/>
      <c r="BI7" s="47"/>
      <c r="BJ7" s="70"/>
      <c r="BK7" s="71"/>
      <c r="BL7" s="72"/>
      <c r="BM7" s="51"/>
    </row>
    <row r="8" spans="2:65" x14ac:dyDescent="0.2">
      <c r="B8" s="45"/>
      <c r="C8" s="29" t="s">
        <v>5</v>
      </c>
      <c r="D8" s="36" t="s">
        <v>15</v>
      </c>
      <c r="E8" s="37">
        <f>E3+E4</f>
        <v>21364</v>
      </c>
      <c r="F8" s="47"/>
      <c r="G8" s="9" t="s">
        <v>27</v>
      </c>
      <c r="H8" s="27"/>
      <c r="I8" s="8">
        <f t="shared" si="3"/>
        <v>0</v>
      </c>
      <c r="J8" s="8">
        <f t="shared" si="3"/>
        <v>1</v>
      </c>
      <c r="K8" s="8">
        <f t="shared" si="3"/>
        <v>0</v>
      </c>
      <c r="L8" s="8">
        <f t="shared" si="3"/>
        <v>1</v>
      </c>
      <c r="M8" s="8" t="str">
        <f t="shared" si="3"/>
        <v>.</v>
      </c>
      <c r="N8" s="8">
        <f t="shared" si="3"/>
        <v>0</v>
      </c>
      <c r="O8" s="8">
        <f t="shared" si="3"/>
        <v>0</v>
      </c>
      <c r="P8" s="8">
        <f t="shared" si="3"/>
        <v>1</v>
      </c>
      <c r="Q8" s="8">
        <f t="shared" si="3"/>
        <v>1</v>
      </c>
      <c r="R8" s="8" t="str">
        <f t="shared" si="3"/>
        <v>.</v>
      </c>
      <c r="S8" s="8">
        <f t="shared" si="4"/>
        <v>0</v>
      </c>
      <c r="T8" s="8">
        <f t="shared" si="4"/>
        <v>1</v>
      </c>
      <c r="U8" s="8">
        <f t="shared" si="4"/>
        <v>1</v>
      </c>
      <c r="V8" s="8">
        <f t="shared" si="4"/>
        <v>1</v>
      </c>
      <c r="W8" s="8" t="str">
        <f t="shared" si="4"/>
        <v>.</v>
      </c>
      <c r="X8" s="8">
        <f t="shared" si="4"/>
        <v>0</v>
      </c>
      <c r="Y8" s="8">
        <f t="shared" si="4"/>
        <v>1</v>
      </c>
      <c r="Z8" s="8">
        <f t="shared" si="4"/>
        <v>0</v>
      </c>
      <c r="AA8" s="30">
        <f t="shared" si="4"/>
        <v>0</v>
      </c>
      <c r="AB8" s="4" t="str">
        <f t="shared" si="5"/>
        <v>Да</v>
      </c>
      <c r="AC8" s="51"/>
      <c r="AE8" s="49"/>
      <c r="AF8" s="18"/>
      <c r="AG8" s="24"/>
      <c r="AH8" s="20">
        <f t="shared" ref="AH8:AZ8" si="6">IF(AH5=".",".",IF(MOD(AH5+AH6+AH4,2)&lt;&gt;0,1,0))</f>
        <v>0</v>
      </c>
      <c r="AI8" s="20">
        <f t="shared" si="6"/>
        <v>1</v>
      </c>
      <c r="AJ8" s="20">
        <f t="shared" si="6"/>
        <v>0</v>
      </c>
      <c r="AK8" s="20">
        <f t="shared" si="6"/>
        <v>1</v>
      </c>
      <c r="AL8" s="20" t="str">
        <f t="shared" si="6"/>
        <v>.</v>
      </c>
      <c r="AM8" s="20">
        <f t="shared" si="6"/>
        <v>0</v>
      </c>
      <c r="AN8" s="20">
        <f t="shared" si="6"/>
        <v>0</v>
      </c>
      <c r="AO8" s="20">
        <f t="shared" si="6"/>
        <v>1</v>
      </c>
      <c r="AP8" s="20">
        <f t="shared" si="6"/>
        <v>1</v>
      </c>
      <c r="AQ8" s="20" t="str">
        <f t="shared" si="6"/>
        <v>.</v>
      </c>
      <c r="AR8" s="20">
        <f t="shared" si="6"/>
        <v>0</v>
      </c>
      <c r="AS8" s="20">
        <f t="shared" si="6"/>
        <v>1</v>
      </c>
      <c r="AT8" s="20">
        <f t="shared" si="6"/>
        <v>1</v>
      </c>
      <c r="AU8" s="20">
        <f t="shared" si="6"/>
        <v>1</v>
      </c>
      <c r="AV8" s="20" t="str">
        <f t="shared" si="6"/>
        <v>.</v>
      </c>
      <c r="AW8" s="20">
        <f t="shared" si="6"/>
        <v>0</v>
      </c>
      <c r="AX8" s="20">
        <f t="shared" si="6"/>
        <v>1</v>
      </c>
      <c r="AY8" s="20">
        <f t="shared" si="6"/>
        <v>0</v>
      </c>
      <c r="AZ8" s="20">
        <f t="shared" si="6"/>
        <v>0</v>
      </c>
      <c r="BA8" s="21" t="s">
        <v>49</v>
      </c>
      <c r="BB8" s="19">
        <f>IF(AH8=0,
     AI8*2^14+AJ8*2^13+AK8*2^12+AM8*2^11+AN8*2^10+AO8*2^9+AP8*2^8+AR8*2^7+AS8*2^6+AT8*2^5+ AU8*2^4+AW8*2^3+AX8*2^2+AY8*2^1+AZ8,
     -((1-AI8)*2^14 +(1-AJ8)*2^13+(1-AK8)*2^12+(1-AM8)*2^11+(1-AN8)*2^10+(1-AO8)*2^9+(1-AP8)*2^8+(1-AR8)*2^7+(1-AS8)*2^6+(1-AT8)*2^5+(1-AU8)*2^4+(1-AW8)*2^3+(1-AX8)*2^2+(1-AY8)*2^1+(1-AZ8) + 1)
)</f>
        <v>21364</v>
      </c>
      <c r="BC8" s="22" t="s">
        <v>50</v>
      </c>
      <c r="BD8" s="64"/>
      <c r="BE8" s="18"/>
      <c r="BF8" s="24"/>
      <c r="BG8" s="19">
        <f>BG5+BG6</f>
        <v>21364</v>
      </c>
      <c r="BH8" s="22" t="s">
        <v>50</v>
      </c>
      <c r="BI8" s="47"/>
      <c r="BJ8" s="70"/>
      <c r="BK8" s="71"/>
      <c r="BL8" s="72"/>
      <c r="BM8" s="51"/>
    </row>
    <row r="9" spans="2:65" x14ac:dyDescent="0.2">
      <c r="B9" s="45"/>
      <c r="C9" s="9" t="s">
        <v>6</v>
      </c>
      <c r="D9" s="38" t="s">
        <v>16</v>
      </c>
      <c r="E9" s="39">
        <f>E3+E4+E4</f>
        <v>36917</v>
      </c>
      <c r="F9" s="47"/>
      <c r="G9" s="9" t="s">
        <v>28</v>
      </c>
      <c r="H9" s="27"/>
      <c r="I9" s="8">
        <f t="shared" si="3"/>
        <v>1</v>
      </c>
      <c r="J9" s="8">
        <f t="shared" si="3"/>
        <v>0</v>
      </c>
      <c r="K9" s="8">
        <f t="shared" si="3"/>
        <v>0</v>
      </c>
      <c r="L9" s="8">
        <f t="shared" si="3"/>
        <v>1</v>
      </c>
      <c r="M9" s="8" t="str">
        <f t="shared" si="3"/>
        <v>.</v>
      </c>
      <c r="N9" s="8">
        <f t="shared" si="3"/>
        <v>0</v>
      </c>
      <c r="O9" s="8">
        <f t="shared" si="3"/>
        <v>0</v>
      </c>
      <c r="P9" s="8">
        <f t="shared" si="3"/>
        <v>0</v>
      </c>
      <c r="Q9" s="8">
        <f t="shared" si="3"/>
        <v>0</v>
      </c>
      <c r="R9" s="8" t="str">
        <f t="shared" si="3"/>
        <v>.</v>
      </c>
      <c r="S9" s="8">
        <f t="shared" si="4"/>
        <v>0</v>
      </c>
      <c r="T9" s="8">
        <f t="shared" si="4"/>
        <v>0</v>
      </c>
      <c r="U9" s="8">
        <f t="shared" si="4"/>
        <v>1</v>
      </c>
      <c r="V9" s="8">
        <f t="shared" si="4"/>
        <v>1</v>
      </c>
      <c r="W9" s="8" t="str">
        <f t="shared" si="4"/>
        <v>.</v>
      </c>
      <c r="X9" s="8">
        <f t="shared" si="4"/>
        <v>0</v>
      </c>
      <c r="Y9" s="8">
        <f t="shared" si="4"/>
        <v>1</v>
      </c>
      <c r="Z9" s="8">
        <f t="shared" si="4"/>
        <v>0</v>
      </c>
      <c r="AA9" s="30">
        <f t="shared" si="4"/>
        <v>1</v>
      </c>
      <c r="AB9" s="4" t="str">
        <f t="shared" si="5"/>
        <v>Нет</v>
      </c>
      <c r="AC9" s="51"/>
      <c r="AE9" s="45"/>
      <c r="AF9" s="44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73"/>
      <c r="BK9" s="74"/>
      <c r="BL9" s="75"/>
      <c r="BM9" s="51"/>
    </row>
    <row r="10" spans="2:65" x14ac:dyDescent="0.2">
      <c r="B10" s="45"/>
      <c r="C10" s="9" t="s">
        <v>7</v>
      </c>
      <c r="D10" s="38" t="s">
        <v>17</v>
      </c>
      <c r="E10" s="39">
        <f>E4-E3</f>
        <v>9742</v>
      </c>
      <c r="F10" s="47"/>
      <c r="G10" s="9" t="s">
        <v>29</v>
      </c>
      <c r="H10" s="27"/>
      <c r="I10" s="8">
        <f t="shared" si="3"/>
        <v>0</v>
      </c>
      <c r="J10" s="8">
        <f t="shared" si="3"/>
        <v>0</v>
      </c>
      <c r="K10" s="8">
        <f t="shared" si="3"/>
        <v>1</v>
      </c>
      <c r="L10" s="8">
        <f t="shared" si="3"/>
        <v>0</v>
      </c>
      <c r="M10" s="8" t="str">
        <f t="shared" si="3"/>
        <v>.</v>
      </c>
      <c r="N10" s="8">
        <f t="shared" si="3"/>
        <v>0</v>
      </c>
      <c r="O10" s="8">
        <f t="shared" si="3"/>
        <v>1</v>
      </c>
      <c r="P10" s="8">
        <f t="shared" si="3"/>
        <v>1</v>
      </c>
      <c r="Q10" s="8">
        <f t="shared" si="3"/>
        <v>0</v>
      </c>
      <c r="R10" s="8" t="str">
        <f t="shared" si="3"/>
        <v>.</v>
      </c>
      <c r="S10" s="8">
        <f t="shared" si="4"/>
        <v>0</v>
      </c>
      <c r="T10" s="8">
        <f t="shared" si="4"/>
        <v>0</v>
      </c>
      <c r="U10" s="8">
        <f t="shared" si="4"/>
        <v>0</v>
      </c>
      <c r="V10" s="8">
        <f t="shared" si="4"/>
        <v>0</v>
      </c>
      <c r="W10" s="8" t="str">
        <f t="shared" si="4"/>
        <v>.</v>
      </c>
      <c r="X10" s="8">
        <f t="shared" si="4"/>
        <v>1</v>
      </c>
      <c r="Y10" s="8">
        <f t="shared" si="4"/>
        <v>1</v>
      </c>
      <c r="Z10" s="8">
        <f t="shared" si="4"/>
        <v>1</v>
      </c>
      <c r="AA10" s="30">
        <f t="shared" si="4"/>
        <v>0</v>
      </c>
      <c r="AB10" s="4" t="str">
        <f t="shared" si="5"/>
        <v>Да</v>
      </c>
      <c r="AC10" s="51"/>
      <c r="AE10" s="45"/>
      <c r="AF10" s="47"/>
      <c r="AG10" s="47"/>
      <c r="AH10" s="51"/>
      <c r="AI10" s="10"/>
      <c r="AJ10" s="10"/>
      <c r="AK10" s="16"/>
      <c r="AL10" s="10"/>
      <c r="AM10" s="10"/>
      <c r="AN10" s="16"/>
      <c r="AO10" s="10"/>
      <c r="AP10" s="10"/>
      <c r="AQ10" s="16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  <c r="BJ10" s="47"/>
      <c r="BK10" s="47"/>
      <c r="BL10" s="47"/>
      <c r="BM10" s="51"/>
    </row>
    <row r="11" spans="2:65" x14ac:dyDescent="0.2">
      <c r="B11" s="45"/>
      <c r="C11" s="15" t="s">
        <v>8</v>
      </c>
      <c r="D11" s="13" t="s">
        <v>18</v>
      </c>
      <c r="E11" s="40">
        <f>65536-E9</f>
        <v>28619</v>
      </c>
      <c r="F11" s="47"/>
      <c r="G11" s="9" t="s">
        <v>30</v>
      </c>
      <c r="H11" s="27"/>
      <c r="I11" s="8">
        <f t="shared" si="3"/>
        <v>0</v>
      </c>
      <c r="J11" s="8">
        <f t="shared" si="3"/>
        <v>1</v>
      </c>
      <c r="K11" s="8">
        <f t="shared" si="3"/>
        <v>1</v>
      </c>
      <c r="L11" s="8">
        <f t="shared" si="3"/>
        <v>0</v>
      </c>
      <c r="M11" s="8" t="str">
        <f t="shared" si="3"/>
        <v>.</v>
      </c>
      <c r="N11" s="8">
        <f t="shared" si="3"/>
        <v>1</v>
      </c>
      <c r="O11" s="8">
        <f t="shared" si="3"/>
        <v>1</v>
      </c>
      <c r="P11" s="8">
        <f t="shared" si="3"/>
        <v>1</v>
      </c>
      <c r="Q11" s="8">
        <f t="shared" si="3"/>
        <v>1</v>
      </c>
      <c r="R11" s="8" t="str">
        <f t="shared" si="3"/>
        <v>.</v>
      </c>
      <c r="S11" s="8">
        <f t="shared" si="4"/>
        <v>1</v>
      </c>
      <c r="T11" s="8">
        <f t="shared" si="4"/>
        <v>1</v>
      </c>
      <c r="U11" s="8">
        <f t="shared" si="4"/>
        <v>0</v>
      </c>
      <c r="V11" s="8">
        <f t="shared" si="4"/>
        <v>0</v>
      </c>
      <c r="W11" s="8" t="str">
        <f t="shared" si="4"/>
        <v>.</v>
      </c>
      <c r="X11" s="8">
        <f t="shared" si="4"/>
        <v>1</v>
      </c>
      <c r="Y11" s="8">
        <f t="shared" si="4"/>
        <v>0</v>
      </c>
      <c r="Z11" s="8">
        <f t="shared" si="4"/>
        <v>1</v>
      </c>
      <c r="AA11" s="30">
        <f t="shared" si="4"/>
        <v>1</v>
      </c>
      <c r="AB11" s="4" t="str">
        <f t="shared" si="5"/>
        <v>Да</v>
      </c>
      <c r="AC11" s="51"/>
      <c r="AE11" s="45"/>
      <c r="AF11" s="47"/>
      <c r="AG11" s="47"/>
      <c r="AH11" s="51"/>
      <c r="AI11" s="12" t="s">
        <v>51</v>
      </c>
      <c r="AJ11" s="12" t="s">
        <v>52</v>
      </c>
      <c r="AK11" s="25">
        <f>IF(AH4+AH5+AH6&gt;1,1,0)</f>
        <v>0</v>
      </c>
      <c r="AL11" s="12" t="s">
        <v>53</v>
      </c>
      <c r="AM11" s="12" t="s">
        <v>52</v>
      </c>
      <c r="AN11" s="25">
        <f>IF(MOD(AW8+AX8+AY8+AZ8,2)=0,1,0)</f>
        <v>0</v>
      </c>
      <c r="AO11" s="12" t="s">
        <v>54</v>
      </c>
      <c r="AP11" s="12" t="s">
        <v>52</v>
      </c>
      <c r="AQ11" s="25">
        <f>AU4</f>
        <v>0</v>
      </c>
      <c r="AR11" s="47"/>
      <c r="AS11" s="53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/>
      <c r="BM11" s="51"/>
    </row>
    <row r="12" spans="2:65" x14ac:dyDescent="0.2">
      <c r="B12" s="45"/>
      <c r="C12" s="9" t="s">
        <v>9</v>
      </c>
      <c r="D12" s="31" t="s">
        <v>19</v>
      </c>
      <c r="E12" s="39">
        <f t="shared" ref="E12:E17" si="7">-E6</f>
        <v>-5811</v>
      </c>
      <c r="F12" s="47"/>
      <c r="G12" s="9" t="s">
        <v>31</v>
      </c>
      <c r="H12" s="31" t="s">
        <v>37</v>
      </c>
      <c r="I12" s="8">
        <f t="shared" si="3"/>
        <v>1</v>
      </c>
      <c r="J12" s="8">
        <f t="shared" si="3"/>
        <v>1</v>
      </c>
      <c r="K12" s="8">
        <f t="shared" si="3"/>
        <v>1</v>
      </c>
      <c r="L12" s="8">
        <f t="shared" si="3"/>
        <v>0</v>
      </c>
      <c r="M12" s="8" t="str">
        <f t="shared" si="3"/>
        <v>.</v>
      </c>
      <c r="N12" s="8">
        <f t="shared" si="3"/>
        <v>1</v>
      </c>
      <c r="O12" s="8">
        <f t="shared" si="3"/>
        <v>0</v>
      </c>
      <c r="P12" s="8">
        <f t="shared" si="3"/>
        <v>0</v>
      </c>
      <c r="Q12" s="8">
        <f t="shared" si="3"/>
        <v>1</v>
      </c>
      <c r="R12" s="8" t="str">
        <f t="shared" si="3"/>
        <v>.</v>
      </c>
      <c r="S12" s="8">
        <f t="shared" si="4"/>
        <v>0</v>
      </c>
      <c r="T12" s="8">
        <f t="shared" si="4"/>
        <v>1</v>
      </c>
      <c r="U12" s="8">
        <f t="shared" si="4"/>
        <v>0</v>
      </c>
      <c r="V12" s="8">
        <f t="shared" si="4"/>
        <v>0</v>
      </c>
      <c r="W12" s="8" t="str">
        <f t="shared" si="4"/>
        <v>.</v>
      </c>
      <c r="X12" s="8">
        <f t="shared" si="4"/>
        <v>1</v>
      </c>
      <c r="Y12" s="8">
        <f t="shared" si="4"/>
        <v>1</v>
      </c>
      <c r="Z12" s="8">
        <f t="shared" si="4"/>
        <v>0</v>
      </c>
      <c r="AA12" s="30">
        <f t="shared" si="4"/>
        <v>1</v>
      </c>
      <c r="AB12" s="4" t="str">
        <f t="shared" si="5"/>
        <v>Да</v>
      </c>
      <c r="AC12" s="51"/>
      <c r="AE12" s="45"/>
      <c r="AF12" s="47"/>
      <c r="AG12" s="47"/>
      <c r="AH12" s="51"/>
      <c r="AI12" s="20"/>
      <c r="AJ12" s="20"/>
      <c r="AK12" s="42"/>
      <c r="AL12" s="20"/>
      <c r="AM12" s="20"/>
      <c r="AN12" s="42"/>
      <c r="AO12" s="20"/>
      <c r="AP12" s="20"/>
      <c r="AQ12" s="17"/>
      <c r="AR12" s="47"/>
      <c r="AS12" s="53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  <c r="BM12" s="51"/>
    </row>
    <row r="13" spans="2:65" x14ac:dyDescent="0.2">
      <c r="B13" s="45"/>
      <c r="C13" s="9" t="s">
        <v>10</v>
      </c>
      <c r="D13" s="31" t="s">
        <v>20</v>
      </c>
      <c r="E13" s="39">
        <f t="shared" si="7"/>
        <v>-15553</v>
      </c>
      <c r="F13" s="47"/>
      <c r="G13" s="9" t="s">
        <v>32</v>
      </c>
      <c r="H13" s="31" t="s">
        <v>38</v>
      </c>
      <c r="I13" s="8">
        <f t="shared" si="3"/>
        <v>1</v>
      </c>
      <c r="J13" s="8">
        <f t="shared" si="3"/>
        <v>1</v>
      </c>
      <c r="K13" s="8">
        <f t="shared" si="3"/>
        <v>0</v>
      </c>
      <c r="L13" s="8">
        <f t="shared" si="3"/>
        <v>0</v>
      </c>
      <c r="M13" s="8" t="str">
        <f t="shared" si="3"/>
        <v>.</v>
      </c>
      <c r="N13" s="8">
        <f t="shared" si="3"/>
        <v>0</v>
      </c>
      <c r="O13" s="8">
        <f t="shared" si="3"/>
        <v>0</v>
      </c>
      <c r="P13" s="8">
        <f t="shared" si="3"/>
        <v>1</v>
      </c>
      <c r="Q13" s="8">
        <f t="shared" si="3"/>
        <v>1</v>
      </c>
      <c r="R13" s="8" t="str">
        <f t="shared" si="3"/>
        <v>.</v>
      </c>
      <c r="S13" s="8">
        <f t="shared" si="4"/>
        <v>0</v>
      </c>
      <c r="T13" s="8">
        <f t="shared" si="4"/>
        <v>0</v>
      </c>
      <c r="U13" s="8">
        <f t="shared" si="4"/>
        <v>1</v>
      </c>
      <c r="V13" s="8">
        <f t="shared" si="4"/>
        <v>1</v>
      </c>
      <c r="W13" s="8" t="str">
        <f t="shared" si="4"/>
        <v>.</v>
      </c>
      <c r="X13" s="8">
        <f t="shared" si="4"/>
        <v>1</v>
      </c>
      <c r="Y13" s="8">
        <f t="shared" si="4"/>
        <v>1</v>
      </c>
      <c r="Z13" s="8">
        <f t="shared" si="4"/>
        <v>1</v>
      </c>
      <c r="AA13" s="30">
        <f t="shared" si="4"/>
        <v>1</v>
      </c>
      <c r="AB13" s="4" t="str">
        <f t="shared" si="5"/>
        <v>Да</v>
      </c>
      <c r="AC13" s="51"/>
      <c r="AE13" s="45"/>
      <c r="AF13" s="47"/>
      <c r="AG13" s="47"/>
      <c r="AH13" s="51"/>
      <c r="AI13" s="10"/>
      <c r="AJ13" s="6"/>
      <c r="AK13" s="6"/>
      <c r="AL13" s="14"/>
      <c r="AM13" s="6"/>
      <c r="AN13" s="6"/>
      <c r="AO13" s="14"/>
      <c r="AP13" s="6"/>
      <c r="AQ13" s="16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47"/>
      <c r="BF13" s="47"/>
      <c r="BG13" s="47"/>
      <c r="BH13" s="47"/>
      <c r="BI13" s="47"/>
      <c r="BJ13" s="47"/>
      <c r="BK13" s="47"/>
      <c r="BL13" s="47"/>
      <c r="BM13" s="51"/>
    </row>
    <row r="14" spans="2:65" x14ac:dyDescent="0.2">
      <c r="B14" s="45"/>
      <c r="C14" s="9" t="s">
        <v>11</v>
      </c>
      <c r="D14" s="31" t="s">
        <v>21</v>
      </c>
      <c r="E14" s="39">
        <f t="shared" si="7"/>
        <v>-21364</v>
      </c>
      <c r="F14" s="47"/>
      <c r="G14" s="9" t="s">
        <v>33</v>
      </c>
      <c r="H14" s="31" t="s">
        <v>39</v>
      </c>
      <c r="I14" s="8">
        <f t="shared" si="3"/>
        <v>1</v>
      </c>
      <c r="J14" s="8">
        <f t="shared" si="3"/>
        <v>0</v>
      </c>
      <c r="K14" s="8">
        <f t="shared" si="3"/>
        <v>1</v>
      </c>
      <c r="L14" s="8">
        <f t="shared" si="3"/>
        <v>0</v>
      </c>
      <c r="M14" s="8" t="str">
        <f t="shared" si="3"/>
        <v>.</v>
      </c>
      <c r="N14" s="8">
        <f t="shared" si="3"/>
        <v>1</v>
      </c>
      <c r="O14" s="8">
        <f t="shared" si="3"/>
        <v>1</v>
      </c>
      <c r="P14" s="8">
        <f t="shared" si="3"/>
        <v>0</v>
      </c>
      <c r="Q14" s="8">
        <f t="shared" si="3"/>
        <v>0</v>
      </c>
      <c r="R14" s="8" t="str">
        <f t="shared" si="3"/>
        <v>.</v>
      </c>
      <c r="S14" s="8">
        <f t="shared" si="4"/>
        <v>1</v>
      </c>
      <c r="T14" s="8">
        <f t="shared" si="4"/>
        <v>0</v>
      </c>
      <c r="U14" s="8">
        <f t="shared" si="4"/>
        <v>0</v>
      </c>
      <c r="V14" s="8">
        <f t="shared" si="4"/>
        <v>0</v>
      </c>
      <c r="W14" s="8" t="str">
        <f t="shared" si="4"/>
        <v>.</v>
      </c>
      <c r="X14" s="8">
        <f t="shared" si="4"/>
        <v>1</v>
      </c>
      <c r="Y14" s="8">
        <f t="shared" si="4"/>
        <v>1</v>
      </c>
      <c r="Z14" s="8">
        <f t="shared" si="4"/>
        <v>0</v>
      </c>
      <c r="AA14" s="30">
        <f t="shared" si="4"/>
        <v>0</v>
      </c>
      <c r="AB14" s="4" t="str">
        <f t="shared" si="5"/>
        <v>Да</v>
      </c>
      <c r="AC14" s="51"/>
      <c r="AE14" s="45"/>
      <c r="AF14" s="47"/>
      <c r="AG14" s="47"/>
      <c r="AH14" s="51"/>
      <c r="AI14" s="12" t="s">
        <v>55</v>
      </c>
      <c r="AJ14" s="12" t="s">
        <v>52</v>
      </c>
      <c r="AK14" s="25">
        <f>IF(BB8=0,1,0)</f>
        <v>0</v>
      </c>
      <c r="AL14" s="12" t="s">
        <v>56</v>
      </c>
      <c r="AM14" s="12" t="s">
        <v>52</v>
      </c>
      <c r="AN14" s="25">
        <f>AH8</f>
        <v>0</v>
      </c>
      <c r="AO14" s="12" t="s">
        <v>57</v>
      </c>
      <c r="AP14" s="12" t="s">
        <v>52</v>
      </c>
      <c r="AQ14" s="25">
        <f>IF(AND(AH5=AH6,AH5&lt;&gt;AH8),1,0)</f>
        <v>0</v>
      </c>
      <c r="AR14" s="47"/>
      <c r="AS14" s="53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7"/>
      <c r="BJ14" s="47"/>
      <c r="BK14" s="47"/>
      <c r="BL14" s="47"/>
      <c r="BM14" s="51"/>
    </row>
    <row r="15" spans="2:65" x14ac:dyDescent="0.2">
      <c r="B15" s="45"/>
      <c r="C15" s="9" t="s">
        <v>12</v>
      </c>
      <c r="D15" s="31" t="s">
        <v>22</v>
      </c>
      <c r="E15" s="39">
        <f t="shared" si="7"/>
        <v>-36917</v>
      </c>
      <c r="F15" s="47"/>
      <c r="G15" s="9" t="s">
        <v>34</v>
      </c>
      <c r="H15" s="31" t="s">
        <v>40</v>
      </c>
      <c r="I15" s="8">
        <f t="shared" si="3"/>
        <v>0</v>
      </c>
      <c r="J15" s="8">
        <f t="shared" si="3"/>
        <v>1</v>
      </c>
      <c r="K15" s="8">
        <f t="shared" si="3"/>
        <v>1</v>
      </c>
      <c r="L15" s="8">
        <f t="shared" si="3"/>
        <v>0</v>
      </c>
      <c r="M15" s="8" t="str">
        <f t="shared" si="3"/>
        <v>.</v>
      </c>
      <c r="N15" s="8">
        <f t="shared" si="3"/>
        <v>1</v>
      </c>
      <c r="O15" s="8">
        <f t="shared" si="3"/>
        <v>1</v>
      </c>
      <c r="P15" s="8">
        <f t="shared" si="3"/>
        <v>1</v>
      </c>
      <c r="Q15" s="8">
        <f t="shared" si="3"/>
        <v>1</v>
      </c>
      <c r="R15" s="8" t="str">
        <f t="shared" si="3"/>
        <v>.</v>
      </c>
      <c r="S15" s="8">
        <f t="shared" si="4"/>
        <v>1</v>
      </c>
      <c r="T15" s="8">
        <f t="shared" si="4"/>
        <v>1</v>
      </c>
      <c r="U15" s="8">
        <f t="shared" si="4"/>
        <v>0</v>
      </c>
      <c r="V15" s="8">
        <f t="shared" si="4"/>
        <v>0</v>
      </c>
      <c r="W15" s="8" t="str">
        <f t="shared" si="4"/>
        <v>.</v>
      </c>
      <c r="X15" s="8">
        <f t="shared" si="4"/>
        <v>1</v>
      </c>
      <c r="Y15" s="8">
        <f t="shared" si="4"/>
        <v>0</v>
      </c>
      <c r="Z15" s="8">
        <f t="shared" si="4"/>
        <v>1</v>
      </c>
      <c r="AA15" s="30">
        <f t="shared" si="4"/>
        <v>1</v>
      </c>
      <c r="AB15" s="4" t="str">
        <f t="shared" si="5"/>
        <v>Нет</v>
      </c>
      <c r="AC15" s="51"/>
      <c r="AD15" s="26"/>
      <c r="AE15" s="47"/>
      <c r="AF15" s="47"/>
      <c r="AG15" s="47"/>
      <c r="AH15" s="51"/>
      <c r="AI15" s="18"/>
      <c r="AJ15" s="19"/>
      <c r="AK15" s="24"/>
      <c r="AL15" s="19"/>
      <c r="AM15" s="19"/>
      <c r="AN15" s="24"/>
      <c r="AO15" s="19"/>
      <c r="AP15" s="19"/>
      <c r="AQ15" s="24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47"/>
      <c r="BF15" s="47"/>
      <c r="BG15" s="47"/>
      <c r="BH15" s="47"/>
      <c r="BI15" s="47"/>
      <c r="BJ15" s="47"/>
      <c r="BK15" s="47"/>
      <c r="BL15" s="47"/>
      <c r="BM15" s="51"/>
    </row>
    <row r="16" spans="2:65" x14ac:dyDescent="0.2">
      <c r="B16" s="45"/>
      <c r="C16" s="9" t="s">
        <v>13</v>
      </c>
      <c r="D16" s="31" t="s">
        <v>23</v>
      </c>
      <c r="E16" s="39">
        <f t="shared" si="7"/>
        <v>-9742</v>
      </c>
      <c r="F16" s="47"/>
      <c r="G16" s="32" t="s">
        <v>35</v>
      </c>
      <c r="H16" s="33" t="s">
        <v>41</v>
      </c>
      <c r="I16" s="34">
        <f t="shared" si="3"/>
        <v>1</v>
      </c>
      <c r="J16" s="34">
        <f t="shared" si="3"/>
        <v>1</v>
      </c>
      <c r="K16" s="34">
        <f t="shared" si="3"/>
        <v>0</v>
      </c>
      <c r="L16" s="34">
        <f t="shared" si="3"/>
        <v>1</v>
      </c>
      <c r="M16" s="34" t="str">
        <f t="shared" si="3"/>
        <v>.</v>
      </c>
      <c r="N16" s="34">
        <f t="shared" si="3"/>
        <v>1</v>
      </c>
      <c r="O16" s="34">
        <f t="shared" si="3"/>
        <v>0</v>
      </c>
      <c r="P16" s="34">
        <f t="shared" si="3"/>
        <v>0</v>
      </c>
      <c r="Q16" s="34">
        <f t="shared" si="3"/>
        <v>1</v>
      </c>
      <c r="R16" s="34" t="str">
        <f t="shared" si="3"/>
        <v>.</v>
      </c>
      <c r="S16" s="34">
        <f t="shared" si="4"/>
        <v>1</v>
      </c>
      <c r="T16" s="34">
        <f t="shared" si="4"/>
        <v>1</v>
      </c>
      <c r="U16" s="34">
        <f t="shared" si="4"/>
        <v>1</v>
      </c>
      <c r="V16" s="34">
        <f t="shared" si="4"/>
        <v>1</v>
      </c>
      <c r="W16" s="34" t="str">
        <f t="shared" si="4"/>
        <v>.</v>
      </c>
      <c r="X16" s="34">
        <f t="shared" si="4"/>
        <v>0</v>
      </c>
      <c r="Y16" s="34">
        <f t="shared" si="4"/>
        <v>0</v>
      </c>
      <c r="Z16" s="34">
        <f t="shared" si="4"/>
        <v>1</v>
      </c>
      <c r="AA16" s="28">
        <f t="shared" si="4"/>
        <v>0</v>
      </c>
      <c r="AB16" s="4" t="str">
        <f t="shared" si="5"/>
        <v>Да</v>
      </c>
      <c r="AC16" s="51"/>
      <c r="AD16" s="26"/>
      <c r="AE16" s="50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47"/>
      <c r="AX16" s="47"/>
      <c r="AY16" s="47"/>
      <c r="AZ16" s="47"/>
      <c r="BA16" s="47"/>
      <c r="BB16" s="47"/>
      <c r="BC16" s="47"/>
      <c r="BD16" s="47"/>
      <c r="BE16" s="47"/>
      <c r="BF16" s="47"/>
      <c r="BG16" s="47"/>
      <c r="BH16" s="47"/>
      <c r="BI16" s="47"/>
      <c r="BJ16" s="47"/>
      <c r="BK16" s="47"/>
      <c r="BL16" s="47"/>
      <c r="BM16" s="52"/>
    </row>
    <row r="17" spans="2:65" x14ac:dyDescent="0.2">
      <c r="B17" s="45"/>
      <c r="C17" s="32" t="s">
        <v>14</v>
      </c>
      <c r="D17" s="33" t="s">
        <v>24</v>
      </c>
      <c r="E17" s="41">
        <f t="shared" si="7"/>
        <v>-28619</v>
      </c>
      <c r="F17" s="47"/>
      <c r="G17" s="32" t="s">
        <v>36</v>
      </c>
      <c r="H17" s="33" t="s">
        <v>42</v>
      </c>
      <c r="I17" s="34">
        <f t="shared" si="3"/>
        <v>1</v>
      </c>
      <c r="J17" s="34">
        <f t="shared" si="3"/>
        <v>0</v>
      </c>
      <c r="K17" s="34">
        <f t="shared" si="3"/>
        <v>0</v>
      </c>
      <c r="L17" s="34">
        <f t="shared" si="3"/>
        <v>1</v>
      </c>
      <c r="M17" s="34" t="str">
        <f t="shared" si="3"/>
        <v>.</v>
      </c>
      <c r="N17" s="34">
        <f t="shared" si="3"/>
        <v>0</v>
      </c>
      <c r="O17" s="34">
        <f t="shared" si="3"/>
        <v>0</v>
      </c>
      <c r="P17" s="34">
        <f t="shared" si="3"/>
        <v>0</v>
      </c>
      <c r="Q17" s="34">
        <f t="shared" si="3"/>
        <v>0</v>
      </c>
      <c r="R17" s="34" t="str">
        <f t="shared" si="3"/>
        <v>.</v>
      </c>
      <c r="S17" s="34">
        <f t="shared" si="4"/>
        <v>0</v>
      </c>
      <c r="T17" s="34">
        <f t="shared" si="4"/>
        <v>0</v>
      </c>
      <c r="U17" s="34">
        <f t="shared" si="4"/>
        <v>1</v>
      </c>
      <c r="V17" s="34">
        <f t="shared" si="4"/>
        <v>1</v>
      </c>
      <c r="W17" s="34" t="str">
        <f t="shared" si="4"/>
        <v>.</v>
      </c>
      <c r="X17" s="34">
        <f t="shared" si="4"/>
        <v>0</v>
      </c>
      <c r="Y17" s="34">
        <f t="shared" si="4"/>
        <v>1</v>
      </c>
      <c r="Z17" s="34">
        <f t="shared" si="4"/>
        <v>0</v>
      </c>
      <c r="AA17" s="28">
        <f t="shared" si="4"/>
        <v>1</v>
      </c>
      <c r="AB17" s="4" t="str">
        <f t="shared" si="5"/>
        <v>Да</v>
      </c>
      <c r="AC17" s="5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</row>
    <row r="18" spans="2:65" x14ac:dyDescent="0.2">
      <c r="B18" s="50"/>
      <c r="C18" s="46"/>
      <c r="D18" s="46"/>
      <c r="E18" s="46"/>
      <c r="F18" s="4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46"/>
      <c r="AB18" s="46"/>
      <c r="AC18" s="52"/>
    </row>
    <row r="19" spans="2:65" x14ac:dyDescent="0.2">
      <c r="AE19" s="43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8"/>
    </row>
    <row r="20" spans="2:65" x14ac:dyDescent="0.2">
      <c r="AE20" s="45"/>
      <c r="AF20" s="46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47"/>
      <c r="BH20" s="47"/>
      <c r="BI20" s="47"/>
      <c r="BJ20" s="67" t="str">
        <f>"При сложении "&amp;
IF(AND(AH22=0,AH23=0),"двух положительных слагаемых",IF(AND(AH22=1,AH23=1),"двух отрицательных слагаемых","положительного и отрицательного слагаемого"))&amp;
" получено "&amp;
IF(AH25=0,"положительное число. ","отрицательное число. ")&amp;
IF(BD21="=","Результат выполнения операции верный и корректный, совпадает с суммой десятичных эквивалентов.","Результат выполнения операции не совпадает с суммой десяитчных эквивалентов, так как произошло переполнение.")</f>
        <v>При сложении двух положительных слагаемых получено отрицательное число. Результат выполнения операции не совпадает с суммой десяитчных эквивалентов, так как произошло переполнение.</v>
      </c>
      <c r="BK20" s="68"/>
      <c r="BL20" s="69"/>
      <c r="BM20" s="51"/>
    </row>
    <row r="21" spans="2:65" x14ac:dyDescent="0.2">
      <c r="AE21" s="49"/>
      <c r="AF21" s="14"/>
      <c r="AG21" s="16"/>
      <c r="AH21" s="7">
        <f t="shared" ref="AH21:AZ21" si="8">IF(AH22=".","",IF(AI22=".",IF(AJ22+AJ23+AJ21&gt;=2,1,0),IF(AI22+AI23+AI21&gt;=2,1,0)))</f>
        <v>1</v>
      </c>
      <c r="AI21" s="7">
        <f t="shared" si="8"/>
        <v>1</v>
      </c>
      <c r="AJ21" s="7">
        <f t="shared" si="8"/>
        <v>1</v>
      </c>
      <c r="AK21" s="7">
        <f t="shared" si="8"/>
        <v>1</v>
      </c>
      <c r="AL21" s="7" t="str">
        <f t="shared" si="8"/>
        <v/>
      </c>
      <c r="AM21" s="7">
        <f t="shared" si="8"/>
        <v>1</v>
      </c>
      <c r="AN21" s="7">
        <f t="shared" si="8"/>
        <v>1</v>
      </c>
      <c r="AO21" s="7">
        <f t="shared" si="8"/>
        <v>1</v>
      </c>
      <c r="AP21" s="7">
        <f t="shared" si="8"/>
        <v>1</v>
      </c>
      <c r="AQ21" s="7" t="str">
        <f t="shared" si="8"/>
        <v/>
      </c>
      <c r="AR21" s="7">
        <f t="shared" si="8"/>
        <v>1</v>
      </c>
      <c r="AS21" s="7">
        <f t="shared" si="8"/>
        <v>0</v>
      </c>
      <c r="AT21" s="7">
        <f t="shared" si="8"/>
        <v>0</v>
      </c>
      <c r="AU21" s="7">
        <f t="shared" si="8"/>
        <v>0</v>
      </c>
      <c r="AV21" s="7" t="str">
        <f t="shared" si="8"/>
        <v/>
      </c>
      <c r="AW21" s="7">
        <f t="shared" si="8"/>
        <v>0</v>
      </c>
      <c r="AX21" s="7">
        <f t="shared" si="8"/>
        <v>0</v>
      </c>
      <c r="AY21" s="7">
        <f t="shared" si="8"/>
        <v>0</v>
      </c>
      <c r="AZ21" s="7">
        <f t="shared" si="8"/>
        <v>0</v>
      </c>
      <c r="BA21" s="10"/>
      <c r="BB21" s="10"/>
      <c r="BC21" s="16"/>
      <c r="BD21" s="64" t="str">
        <f>IF(BB25=BG25,"=","!=")</f>
        <v>!=</v>
      </c>
      <c r="BE21" s="14"/>
      <c r="BF21" s="16"/>
      <c r="BG21" s="10"/>
      <c r="BH21" s="16"/>
      <c r="BI21" s="47"/>
      <c r="BJ21" s="70"/>
      <c r="BK21" s="71"/>
      <c r="BL21" s="72"/>
      <c r="BM21" s="51"/>
    </row>
    <row r="22" spans="2:65" x14ac:dyDescent="0.2">
      <c r="AE22" s="49"/>
      <c r="AF22" s="5"/>
      <c r="AG22" s="23" t="s">
        <v>48</v>
      </c>
      <c r="AH22" s="12">
        <f>I7</f>
        <v>0</v>
      </c>
      <c r="AI22" s="12">
        <f t="shared" ref="AI22:AZ22" si="9">J7</f>
        <v>0</v>
      </c>
      <c r="AJ22" s="12">
        <f t="shared" si="9"/>
        <v>1</v>
      </c>
      <c r="AK22" s="12">
        <f t="shared" si="9"/>
        <v>1</v>
      </c>
      <c r="AL22" s="12" t="str">
        <f t="shared" si="9"/>
        <v>.</v>
      </c>
      <c r="AM22" s="12">
        <f t="shared" si="9"/>
        <v>1</v>
      </c>
      <c r="AN22" s="12">
        <f t="shared" si="9"/>
        <v>1</v>
      </c>
      <c r="AO22" s="12">
        <f t="shared" si="9"/>
        <v>0</v>
      </c>
      <c r="AP22" s="12">
        <f t="shared" si="9"/>
        <v>0</v>
      </c>
      <c r="AQ22" s="12" t="str">
        <f t="shared" si="9"/>
        <v>.</v>
      </c>
      <c r="AR22" s="12">
        <f t="shared" si="9"/>
        <v>1</v>
      </c>
      <c r="AS22" s="12">
        <f t="shared" si="9"/>
        <v>1</v>
      </c>
      <c r="AT22" s="12">
        <f t="shared" si="9"/>
        <v>0</v>
      </c>
      <c r="AU22" s="12">
        <f t="shared" si="9"/>
        <v>0</v>
      </c>
      <c r="AV22" s="12" t="str">
        <f t="shared" si="9"/>
        <v>.</v>
      </c>
      <c r="AW22" s="12">
        <f t="shared" si="9"/>
        <v>0</v>
      </c>
      <c r="AX22" s="12">
        <f t="shared" si="9"/>
        <v>0</v>
      </c>
      <c r="AY22" s="12">
        <f t="shared" si="9"/>
        <v>0</v>
      </c>
      <c r="AZ22" s="12">
        <f t="shared" si="9"/>
        <v>1</v>
      </c>
      <c r="BA22" s="6"/>
      <c r="BB22" s="6"/>
      <c r="BC22" s="17"/>
      <c r="BD22" s="64"/>
      <c r="BE22" s="5"/>
      <c r="BF22" s="25" t="s">
        <v>59</v>
      </c>
      <c r="BG22" s="12">
        <f>E7</f>
        <v>15553</v>
      </c>
      <c r="BH22" s="17"/>
      <c r="BI22" s="47"/>
      <c r="BJ22" s="70"/>
      <c r="BK22" s="71"/>
      <c r="BL22" s="72"/>
      <c r="BM22" s="51"/>
    </row>
    <row r="23" spans="2:65" x14ac:dyDescent="0.2">
      <c r="AE23" s="49"/>
      <c r="AF23" s="15" t="s">
        <v>46</v>
      </c>
      <c r="AG23" s="23" t="s">
        <v>63</v>
      </c>
      <c r="AH23" s="12">
        <f>I8</f>
        <v>0</v>
      </c>
      <c r="AI23" s="12">
        <f t="shared" ref="AI23" si="10">J8</f>
        <v>1</v>
      </c>
      <c r="AJ23" s="12">
        <f t="shared" ref="AJ23" si="11">K8</f>
        <v>0</v>
      </c>
      <c r="AK23" s="12">
        <f t="shared" ref="AK23" si="12">L8</f>
        <v>1</v>
      </c>
      <c r="AL23" s="12" t="str">
        <f t="shared" ref="AL23" si="13">M8</f>
        <v>.</v>
      </c>
      <c r="AM23" s="12">
        <f t="shared" ref="AM23" si="14">N8</f>
        <v>0</v>
      </c>
      <c r="AN23" s="12">
        <f t="shared" ref="AN23" si="15">O8</f>
        <v>0</v>
      </c>
      <c r="AO23" s="12">
        <f t="shared" ref="AO23" si="16">P8</f>
        <v>1</v>
      </c>
      <c r="AP23" s="12">
        <f t="shared" ref="AP23" si="17">Q8</f>
        <v>1</v>
      </c>
      <c r="AQ23" s="12" t="str">
        <f t="shared" ref="AQ23" si="18">R8</f>
        <v>.</v>
      </c>
      <c r="AR23" s="12">
        <f t="shared" ref="AR23" si="19">S8</f>
        <v>0</v>
      </c>
      <c r="AS23" s="12">
        <f t="shared" ref="AS23" si="20">T8</f>
        <v>1</v>
      </c>
      <c r="AT23" s="12">
        <f t="shared" ref="AT23" si="21">U8</f>
        <v>1</v>
      </c>
      <c r="AU23" s="12">
        <f t="shared" ref="AU23" si="22">V8</f>
        <v>1</v>
      </c>
      <c r="AV23" s="12" t="str">
        <f t="shared" ref="AV23" si="23">W8</f>
        <v>.</v>
      </c>
      <c r="AW23" s="12">
        <f t="shared" ref="AW23" si="24">X8</f>
        <v>0</v>
      </c>
      <c r="AX23" s="12">
        <f t="shared" ref="AX23" si="25">Y8</f>
        <v>1</v>
      </c>
      <c r="AY23" s="12">
        <f t="shared" ref="AY23" si="26">Z8</f>
        <v>0</v>
      </c>
      <c r="AZ23" s="12">
        <f t="shared" ref="AZ23" si="27">AA8</f>
        <v>0</v>
      </c>
      <c r="BA23" s="6"/>
      <c r="BB23" s="6"/>
      <c r="BC23" s="17"/>
      <c r="BD23" s="64"/>
      <c r="BE23" s="15" t="s">
        <v>46</v>
      </c>
      <c r="BF23" s="25" t="s">
        <v>64</v>
      </c>
      <c r="BG23" s="12">
        <f>E8</f>
        <v>21364</v>
      </c>
      <c r="BH23" s="17"/>
      <c r="BI23" s="47"/>
      <c r="BJ23" s="70"/>
      <c r="BK23" s="71"/>
      <c r="BL23" s="72"/>
      <c r="BM23" s="51"/>
    </row>
    <row r="24" spans="2:65" x14ac:dyDescent="0.2">
      <c r="AE24" s="49"/>
      <c r="AF24" s="5"/>
      <c r="AG24" s="63" t="s">
        <v>61</v>
      </c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63"/>
      <c r="AT24" s="63"/>
      <c r="AU24" s="63"/>
      <c r="AV24" s="63"/>
      <c r="AW24" s="63"/>
      <c r="AX24" s="63"/>
      <c r="AY24" s="63"/>
      <c r="AZ24" s="63"/>
      <c r="BA24" s="6"/>
      <c r="BB24" s="6"/>
      <c r="BC24" s="17"/>
      <c r="BD24" s="64"/>
      <c r="BE24" s="15"/>
      <c r="BF24" s="63" t="s">
        <v>60</v>
      </c>
      <c r="BG24" s="63"/>
      <c r="BH24" s="17"/>
      <c r="BI24" s="47"/>
      <c r="BJ24" s="70"/>
      <c r="BK24" s="71"/>
      <c r="BL24" s="72"/>
      <c r="BM24" s="51"/>
    </row>
    <row r="25" spans="2:65" x14ac:dyDescent="0.2">
      <c r="AE25" s="49"/>
      <c r="AF25" s="18"/>
      <c r="AG25" s="24"/>
      <c r="AH25" s="20">
        <f t="shared" ref="AH25:AZ25" si="28">IF(AH22=".",".",IF(MOD(AH22+AH23+AH21,2)&lt;&gt;0,1,0))</f>
        <v>1</v>
      </c>
      <c r="AI25" s="20">
        <f t="shared" si="28"/>
        <v>0</v>
      </c>
      <c r="AJ25" s="20">
        <f t="shared" si="28"/>
        <v>0</v>
      </c>
      <c r="AK25" s="20">
        <f t="shared" si="28"/>
        <v>1</v>
      </c>
      <c r="AL25" s="20" t="str">
        <f t="shared" si="28"/>
        <v>.</v>
      </c>
      <c r="AM25" s="20">
        <f t="shared" si="28"/>
        <v>0</v>
      </c>
      <c r="AN25" s="20">
        <f t="shared" si="28"/>
        <v>0</v>
      </c>
      <c r="AO25" s="20">
        <f t="shared" si="28"/>
        <v>0</v>
      </c>
      <c r="AP25" s="20">
        <f t="shared" si="28"/>
        <v>0</v>
      </c>
      <c r="AQ25" s="20" t="str">
        <f t="shared" si="28"/>
        <v>.</v>
      </c>
      <c r="AR25" s="20">
        <f t="shared" si="28"/>
        <v>0</v>
      </c>
      <c r="AS25" s="20">
        <f t="shared" si="28"/>
        <v>0</v>
      </c>
      <c r="AT25" s="20">
        <f t="shared" si="28"/>
        <v>1</v>
      </c>
      <c r="AU25" s="20">
        <f t="shared" si="28"/>
        <v>1</v>
      </c>
      <c r="AV25" s="20" t="str">
        <f t="shared" si="28"/>
        <v>.</v>
      </c>
      <c r="AW25" s="20">
        <f t="shared" si="28"/>
        <v>0</v>
      </c>
      <c r="AX25" s="20">
        <f t="shared" si="28"/>
        <v>1</v>
      </c>
      <c r="AY25" s="20">
        <f t="shared" si="28"/>
        <v>0</v>
      </c>
      <c r="AZ25" s="20">
        <f t="shared" si="28"/>
        <v>1</v>
      </c>
      <c r="BA25" s="21" t="s">
        <v>49</v>
      </c>
      <c r="BB25" s="19">
        <f>IF(AH25=0,
     AI25*2^14+AJ25*2^13+AK25*2^12+AM25*2^11+AN25*2^10+AO25*2^9+AP25*2^8+AR25*2^7+AS25*2^6+AT25*2^5+ AU25*2^4+AW25*2^3+AX25*2^2+AY25*2^1+AZ25,
     -((1-AI25)*2^14 +(1-AJ25)*2^13+(1-AK25)*2^12+(1-AM25)*2^11+(1-AN25)*2^10+(1-AO25)*2^9+(1-AP25)*2^8+(1-AR25)*2^7+(1-AS25)*2^6+(1-AT25)*2^5+(1-AU25)*2^4+(1-AW25)*2^3+(1-AX25)*2^2+(1-AY25)*2^1+(1-AZ25) + 1)
)</f>
        <v>-28619</v>
      </c>
      <c r="BC25" s="22" t="s">
        <v>62</v>
      </c>
      <c r="BD25" s="64"/>
      <c r="BE25" s="18"/>
      <c r="BF25" s="24"/>
      <c r="BG25" s="19">
        <f>BG22+BG23</f>
        <v>36917</v>
      </c>
      <c r="BH25" s="22" t="s">
        <v>50</v>
      </c>
      <c r="BI25" s="47"/>
      <c r="BJ25" s="70"/>
      <c r="BK25" s="71"/>
      <c r="BL25" s="72"/>
      <c r="BM25" s="51"/>
    </row>
    <row r="26" spans="2:65" x14ac:dyDescent="0.2">
      <c r="AE26" s="45"/>
      <c r="AF26" s="44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47"/>
      <c r="AX26" s="47"/>
      <c r="AY26" s="47"/>
      <c r="AZ26" s="47"/>
      <c r="BA26" s="47"/>
      <c r="BB26" s="47"/>
      <c r="BC26" s="47"/>
      <c r="BD26" s="47"/>
      <c r="BE26" s="47"/>
      <c r="BF26" s="47"/>
      <c r="BG26" s="47"/>
      <c r="BH26" s="47"/>
      <c r="BI26" s="47"/>
      <c r="BJ26" s="73"/>
      <c r="BK26" s="74"/>
      <c r="BL26" s="75"/>
      <c r="BM26" s="51"/>
    </row>
    <row r="27" spans="2:65" x14ac:dyDescent="0.2">
      <c r="AE27" s="45"/>
      <c r="AF27" s="47"/>
      <c r="AG27" s="47"/>
      <c r="AH27" s="51"/>
      <c r="AI27" s="10"/>
      <c r="AJ27" s="10"/>
      <c r="AK27" s="16"/>
      <c r="AL27" s="10"/>
      <c r="AM27" s="10"/>
      <c r="AN27" s="16"/>
      <c r="AO27" s="10"/>
      <c r="AP27" s="10"/>
      <c r="AQ27" s="16"/>
      <c r="AR27" s="47"/>
      <c r="AS27" s="47"/>
      <c r="AT27" s="47"/>
      <c r="AU27" s="47"/>
      <c r="AV27" s="47"/>
      <c r="AW27" s="47"/>
      <c r="AX27" s="47"/>
      <c r="AY27" s="47"/>
      <c r="AZ27" s="47"/>
      <c r="BA27" s="47"/>
      <c r="BB27" s="47"/>
      <c r="BC27" s="47"/>
      <c r="BD27" s="47"/>
      <c r="BE27" s="47"/>
      <c r="BF27" s="47"/>
      <c r="BG27" s="47"/>
      <c r="BH27" s="47"/>
      <c r="BI27" s="47"/>
      <c r="BJ27" s="47"/>
      <c r="BK27" s="47"/>
      <c r="BL27" s="47"/>
      <c r="BM27" s="51"/>
    </row>
    <row r="28" spans="2:65" x14ac:dyDescent="0.2">
      <c r="AE28" s="45"/>
      <c r="AF28" s="47"/>
      <c r="AG28" s="47"/>
      <c r="AH28" s="51"/>
      <c r="AI28" s="12" t="s">
        <v>51</v>
      </c>
      <c r="AJ28" s="12" t="s">
        <v>52</v>
      </c>
      <c r="AK28" s="25">
        <f>IF(AH21+AH22+AH23&gt;1,1,0)</f>
        <v>0</v>
      </c>
      <c r="AL28" s="12" t="s">
        <v>53</v>
      </c>
      <c r="AM28" s="12" t="s">
        <v>52</v>
      </c>
      <c r="AN28" s="25">
        <f>IF(MOD(AW25+AX25+AY25+AZ25,2)=0,1,0)</f>
        <v>1</v>
      </c>
      <c r="AO28" s="12" t="s">
        <v>54</v>
      </c>
      <c r="AP28" s="12" t="s">
        <v>52</v>
      </c>
      <c r="AQ28" s="25">
        <f>AU21</f>
        <v>0</v>
      </c>
      <c r="AR28" s="47"/>
      <c r="AS28" s="53"/>
      <c r="AT28" s="47"/>
      <c r="AU28" s="47"/>
      <c r="AV28" s="47"/>
      <c r="AW28" s="47"/>
      <c r="AX28" s="47"/>
      <c r="AY28" s="47"/>
      <c r="AZ28" s="47"/>
      <c r="BA28" s="47"/>
      <c r="BB28" s="47"/>
      <c r="BC28" s="47"/>
      <c r="BD28" s="47"/>
      <c r="BE28" s="47"/>
      <c r="BF28" s="47"/>
      <c r="BG28" s="47"/>
      <c r="BH28" s="47"/>
      <c r="BI28" s="47"/>
      <c r="BJ28" s="47"/>
      <c r="BK28" s="47"/>
      <c r="BL28" s="47"/>
      <c r="BM28" s="51"/>
    </row>
    <row r="29" spans="2:65" x14ac:dyDescent="0.2">
      <c r="AE29" s="45"/>
      <c r="AF29" s="47"/>
      <c r="AG29" s="47"/>
      <c r="AH29" s="51"/>
      <c r="AI29" s="20"/>
      <c r="AJ29" s="20"/>
      <c r="AK29" s="42"/>
      <c r="AL29" s="20"/>
      <c r="AM29" s="20"/>
      <c r="AN29" s="42"/>
      <c r="AO29" s="20"/>
      <c r="AP29" s="20"/>
      <c r="AQ29" s="17"/>
      <c r="AR29" s="47"/>
      <c r="AS29" s="53"/>
      <c r="AT29" s="47"/>
      <c r="AU29" s="47"/>
      <c r="AV29" s="47"/>
      <c r="AW29" s="47"/>
      <c r="AX29" s="47"/>
      <c r="AY29" s="47"/>
      <c r="AZ29" s="47"/>
      <c r="BA29" s="47"/>
      <c r="BB29" s="47"/>
      <c r="BC29" s="47"/>
      <c r="BD29" s="47"/>
      <c r="BE29" s="47"/>
      <c r="BF29" s="47"/>
      <c r="BG29" s="47"/>
      <c r="BH29" s="47"/>
      <c r="BI29" s="47"/>
      <c r="BJ29" s="47"/>
      <c r="BK29" s="47"/>
      <c r="BL29" s="47"/>
      <c r="BM29" s="51"/>
    </row>
    <row r="30" spans="2:65" x14ac:dyDescent="0.2">
      <c r="AE30" s="45"/>
      <c r="AF30" s="47"/>
      <c r="AG30" s="47"/>
      <c r="AH30" s="51"/>
      <c r="AI30" s="10"/>
      <c r="AJ30" s="6"/>
      <c r="AK30" s="6"/>
      <c r="AL30" s="14"/>
      <c r="AM30" s="6"/>
      <c r="AN30" s="6"/>
      <c r="AO30" s="14"/>
      <c r="AP30" s="6"/>
      <c r="AQ30" s="16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  <c r="BE30" s="47"/>
      <c r="BF30" s="47"/>
      <c r="BG30" s="47"/>
      <c r="BH30" s="47"/>
      <c r="BI30" s="47"/>
      <c r="BJ30" s="47"/>
      <c r="BK30" s="47"/>
      <c r="BL30" s="47"/>
      <c r="BM30" s="51"/>
    </row>
    <row r="31" spans="2:65" x14ac:dyDescent="0.2">
      <c r="AE31" s="45"/>
      <c r="AF31" s="47"/>
      <c r="AG31" s="47"/>
      <c r="AH31" s="51"/>
      <c r="AI31" s="12" t="s">
        <v>55</v>
      </c>
      <c r="AJ31" s="12" t="s">
        <v>52</v>
      </c>
      <c r="AK31" s="25">
        <f>IF(BB25=0,1,0)</f>
        <v>0</v>
      </c>
      <c r="AL31" s="12" t="s">
        <v>56</v>
      </c>
      <c r="AM31" s="12" t="s">
        <v>52</v>
      </c>
      <c r="AN31" s="25">
        <f>AH25</f>
        <v>1</v>
      </c>
      <c r="AO31" s="12" t="s">
        <v>57</v>
      </c>
      <c r="AP31" s="12" t="s">
        <v>52</v>
      </c>
      <c r="AQ31" s="25">
        <f>IF(AND(AH22=AH23,AH22&lt;&gt;AH25),1,0)</f>
        <v>1</v>
      </c>
      <c r="AR31" s="47"/>
      <c r="AS31" s="53"/>
      <c r="AT31" s="47"/>
      <c r="AU31" s="47"/>
      <c r="AV31" s="47"/>
      <c r="AW31" s="47"/>
      <c r="AX31" s="47"/>
      <c r="AY31" s="47"/>
      <c r="AZ31" s="47"/>
      <c r="BA31" s="47"/>
      <c r="BB31" s="47"/>
      <c r="BC31" s="47"/>
      <c r="BD31" s="47"/>
      <c r="BE31" s="47"/>
      <c r="BF31" s="47"/>
      <c r="BG31" s="47"/>
      <c r="BH31" s="47"/>
      <c r="BI31" s="47"/>
      <c r="BJ31" s="47"/>
      <c r="BK31" s="47"/>
      <c r="BL31" s="47"/>
      <c r="BM31" s="51"/>
    </row>
    <row r="32" spans="2:65" x14ac:dyDescent="0.2">
      <c r="AE32" s="45"/>
      <c r="AF32" s="47"/>
      <c r="AG32" s="47"/>
      <c r="AH32" s="51"/>
      <c r="AI32" s="18"/>
      <c r="AJ32" s="19"/>
      <c r="AK32" s="24"/>
      <c r="AL32" s="19"/>
      <c r="AM32" s="19"/>
      <c r="AN32" s="24"/>
      <c r="AO32" s="19"/>
      <c r="AP32" s="19"/>
      <c r="AQ32" s="24"/>
      <c r="AR32" s="47"/>
      <c r="AS32" s="47"/>
      <c r="AT32" s="47"/>
      <c r="AU32" s="47"/>
      <c r="AV32" s="47"/>
      <c r="AW32" s="47"/>
      <c r="AX32" s="47"/>
      <c r="AY32" s="47"/>
      <c r="AZ32" s="47"/>
      <c r="BA32" s="47"/>
      <c r="BB32" s="47"/>
      <c r="BC32" s="47"/>
      <c r="BD32" s="47"/>
      <c r="BE32" s="47"/>
      <c r="BF32" s="47"/>
      <c r="BG32" s="47"/>
      <c r="BH32" s="47"/>
      <c r="BI32" s="47"/>
      <c r="BJ32" s="47"/>
      <c r="BK32" s="47"/>
      <c r="BL32" s="47"/>
      <c r="BM32" s="51"/>
    </row>
    <row r="33" spans="31:65" x14ac:dyDescent="0.2">
      <c r="AE33" s="50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6"/>
      <c r="BK33" s="46"/>
      <c r="BL33" s="46"/>
      <c r="BM33" s="52"/>
    </row>
    <row r="36" spans="31:65" x14ac:dyDescent="0.2">
      <c r="AE36" s="43"/>
      <c r="AF36" s="44"/>
      <c r="AG36" s="44"/>
      <c r="AH36" s="44"/>
      <c r="AI36" s="44"/>
      <c r="AJ36" s="44"/>
      <c r="AK36" s="44"/>
      <c r="AL36" s="44"/>
      <c r="AM36" s="44"/>
      <c r="AN36" s="44"/>
      <c r="AO36" s="44"/>
      <c r="AP36" s="44"/>
      <c r="AQ36" s="44"/>
      <c r="AR36" s="44"/>
      <c r="AS36" s="44"/>
      <c r="AT36" s="44"/>
      <c r="AU36" s="44"/>
      <c r="AV36" s="44"/>
      <c r="AW36" s="44"/>
      <c r="AX36" s="44"/>
      <c r="AY36" s="44"/>
      <c r="AZ36" s="44"/>
      <c r="BA36" s="44"/>
      <c r="BB36" s="44"/>
      <c r="BC36" s="44"/>
      <c r="BD36" s="44"/>
      <c r="BE36" s="44"/>
      <c r="BF36" s="44"/>
      <c r="BG36" s="44"/>
      <c r="BH36" s="44"/>
      <c r="BI36" s="44"/>
      <c r="BJ36" s="44"/>
      <c r="BK36" s="44"/>
      <c r="BL36" s="44"/>
      <c r="BM36" s="48"/>
    </row>
    <row r="37" spans="31:65" x14ac:dyDescent="0.2">
      <c r="AE37" s="45"/>
      <c r="AF37" s="46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47"/>
      <c r="AU37" s="47"/>
      <c r="AV37" s="47"/>
      <c r="AW37" s="47"/>
      <c r="AX37" s="47"/>
      <c r="AY37" s="47"/>
      <c r="AZ37" s="47"/>
      <c r="BA37" s="47"/>
      <c r="BB37" s="47"/>
      <c r="BC37" s="47"/>
      <c r="BD37" s="47"/>
      <c r="BE37" s="47"/>
      <c r="BF37" s="47"/>
      <c r="BG37" s="47"/>
      <c r="BH37" s="47"/>
      <c r="BI37" s="47"/>
      <c r="BJ37" s="67" t="str">
        <f>"При сложении "&amp;
IF(AND(AH39=0,AH40=0),"двух положительных слагаемых",IF(AND(AH39=1,AH40=1),"двух отрицательных слагаемых","положительного и отрицательного слагаемого"))&amp;
" получено "&amp;
IF(AH42=0,"положительное число. ","отрицательное число. ")&amp;
IF(BD38="=","Результат выполнения операции верный и корректный, совпадает с суммой десятичных эквивалентов.","Результат выполнения операции не совпадает с суммой десяитчных эквивалентов, так как произошло переполнение.")</f>
        <v>При сложении положительного и отрицательного слагаемого получено положительное число. Результат выполнения операции верный и корректный, совпадает с суммой десятичных эквивалентов.</v>
      </c>
      <c r="BK37" s="68"/>
      <c r="BL37" s="69"/>
      <c r="BM37" s="51"/>
    </row>
    <row r="38" spans="31:65" x14ac:dyDescent="0.2">
      <c r="AE38" s="49"/>
      <c r="AF38" s="14"/>
      <c r="AG38" s="16"/>
      <c r="AH38" s="7">
        <f t="shared" ref="AH38:AZ38" si="29">IF(AH39=".","",IF(AI39=".",IF(AJ39+AJ40+AJ38&gt;=2,1,0),IF(AI39+AI40+AI38&gt;=2,1,0)))</f>
        <v>1</v>
      </c>
      <c r="AI38" s="7">
        <f t="shared" si="29"/>
        <v>1</v>
      </c>
      <c r="AJ38" s="7">
        <f t="shared" si="29"/>
        <v>1</v>
      </c>
      <c r="AK38" s="7">
        <f t="shared" si="29"/>
        <v>1</v>
      </c>
      <c r="AL38" s="7" t="str">
        <f t="shared" si="29"/>
        <v/>
      </c>
      <c r="AM38" s="7">
        <f t="shared" si="29"/>
        <v>0</v>
      </c>
      <c r="AN38" s="7">
        <f t="shared" si="29"/>
        <v>0</v>
      </c>
      <c r="AO38" s="7">
        <f t="shared" si="29"/>
        <v>1</v>
      </c>
      <c r="AP38" s="7">
        <f t="shared" si="29"/>
        <v>1</v>
      </c>
      <c r="AQ38" s="7" t="str">
        <f t="shared" si="29"/>
        <v/>
      </c>
      <c r="AR38" s="7">
        <f t="shared" si="29"/>
        <v>1</v>
      </c>
      <c r="AS38" s="7">
        <f t="shared" si="29"/>
        <v>0</v>
      </c>
      <c r="AT38" s="7">
        <f t="shared" si="29"/>
        <v>0</v>
      </c>
      <c r="AU38" s="7">
        <f t="shared" si="29"/>
        <v>0</v>
      </c>
      <c r="AV38" s="7" t="str">
        <f t="shared" si="29"/>
        <v/>
      </c>
      <c r="AW38" s="7">
        <f t="shared" si="29"/>
        <v>0</v>
      </c>
      <c r="AX38" s="7">
        <f t="shared" si="29"/>
        <v>0</v>
      </c>
      <c r="AY38" s="7">
        <f t="shared" si="29"/>
        <v>1</v>
      </c>
      <c r="AZ38" s="7">
        <f t="shared" si="29"/>
        <v>0</v>
      </c>
      <c r="BA38" s="10"/>
      <c r="BB38" s="10"/>
      <c r="BC38" s="16"/>
      <c r="BD38" s="64" t="str">
        <f>IF(BB42=BG42,"=","!=")</f>
        <v>=</v>
      </c>
      <c r="BE38" s="14"/>
      <c r="BF38" s="16"/>
      <c r="BG38" s="10"/>
      <c r="BH38" s="16"/>
      <c r="BI38" s="47"/>
      <c r="BJ38" s="70"/>
      <c r="BK38" s="71"/>
      <c r="BL38" s="72"/>
      <c r="BM38" s="51"/>
    </row>
    <row r="39" spans="31:65" x14ac:dyDescent="0.2">
      <c r="AE39" s="49"/>
      <c r="AF39" s="5"/>
      <c r="AG39" s="23" t="s">
        <v>48</v>
      </c>
      <c r="AH39" s="12">
        <f>I7</f>
        <v>0</v>
      </c>
      <c r="AI39" s="12">
        <f t="shared" ref="AI39:AZ39" si="30">J7</f>
        <v>0</v>
      </c>
      <c r="AJ39" s="12">
        <f t="shared" si="30"/>
        <v>1</v>
      </c>
      <c r="AK39" s="12">
        <f t="shared" si="30"/>
        <v>1</v>
      </c>
      <c r="AL39" s="12" t="str">
        <f t="shared" si="30"/>
        <v>.</v>
      </c>
      <c r="AM39" s="12">
        <f t="shared" si="30"/>
        <v>1</v>
      </c>
      <c r="AN39" s="12">
        <f t="shared" si="30"/>
        <v>1</v>
      </c>
      <c r="AO39" s="12">
        <f t="shared" si="30"/>
        <v>0</v>
      </c>
      <c r="AP39" s="12">
        <f t="shared" si="30"/>
        <v>0</v>
      </c>
      <c r="AQ39" s="12" t="str">
        <f t="shared" si="30"/>
        <v>.</v>
      </c>
      <c r="AR39" s="12">
        <f t="shared" si="30"/>
        <v>1</v>
      </c>
      <c r="AS39" s="12">
        <f t="shared" si="30"/>
        <v>1</v>
      </c>
      <c r="AT39" s="12">
        <f t="shared" si="30"/>
        <v>0</v>
      </c>
      <c r="AU39" s="12">
        <f t="shared" si="30"/>
        <v>0</v>
      </c>
      <c r="AV39" s="12" t="str">
        <f t="shared" si="30"/>
        <v>.</v>
      </c>
      <c r="AW39" s="12">
        <f t="shared" si="30"/>
        <v>0</v>
      </c>
      <c r="AX39" s="12">
        <f t="shared" si="30"/>
        <v>0</v>
      </c>
      <c r="AY39" s="12">
        <f t="shared" si="30"/>
        <v>0</v>
      </c>
      <c r="AZ39" s="12">
        <f t="shared" si="30"/>
        <v>1</v>
      </c>
      <c r="BA39" s="6"/>
      <c r="BB39" s="6"/>
      <c r="BC39" s="17"/>
      <c r="BD39" s="64"/>
      <c r="BE39" s="5"/>
      <c r="BF39" s="25" t="s">
        <v>59</v>
      </c>
      <c r="BG39" s="12">
        <f>E7</f>
        <v>15553</v>
      </c>
      <c r="BH39" s="17"/>
      <c r="BI39" s="47"/>
      <c r="BJ39" s="70"/>
      <c r="BK39" s="71"/>
      <c r="BL39" s="72"/>
      <c r="BM39" s="51"/>
    </row>
    <row r="40" spans="31:65" x14ac:dyDescent="0.2">
      <c r="AE40" s="49"/>
      <c r="AF40" s="15" t="s">
        <v>46</v>
      </c>
      <c r="AG40" s="23" t="s">
        <v>65</v>
      </c>
      <c r="AH40" s="12">
        <f>I12</f>
        <v>1</v>
      </c>
      <c r="AI40" s="12">
        <f t="shared" ref="AI40:AZ40" si="31">J12</f>
        <v>1</v>
      </c>
      <c r="AJ40" s="12">
        <f t="shared" si="31"/>
        <v>1</v>
      </c>
      <c r="AK40" s="12">
        <f t="shared" si="31"/>
        <v>0</v>
      </c>
      <c r="AL40" s="12" t="str">
        <f t="shared" si="31"/>
        <v>.</v>
      </c>
      <c r="AM40" s="12">
        <f t="shared" si="31"/>
        <v>1</v>
      </c>
      <c r="AN40" s="12">
        <f t="shared" si="31"/>
        <v>0</v>
      </c>
      <c r="AO40" s="12">
        <f t="shared" si="31"/>
        <v>0</v>
      </c>
      <c r="AP40" s="12">
        <f t="shared" si="31"/>
        <v>1</v>
      </c>
      <c r="AQ40" s="12" t="str">
        <f t="shared" si="31"/>
        <v>.</v>
      </c>
      <c r="AR40" s="12">
        <f t="shared" si="31"/>
        <v>0</v>
      </c>
      <c r="AS40" s="12">
        <f t="shared" si="31"/>
        <v>1</v>
      </c>
      <c r="AT40" s="12">
        <f t="shared" si="31"/>
        <v>0</v>
      </c>
      <c r="AU40" s="12">
        <f t="shared" si="31"/>
        <v>0</v>
      </c>
      <c r="AV40" s="12" t="str">
        <f t="shared" si="31"/>
        <v>.</v>
      </c>
      <c r="AW40" s="12">
        <f t="shared" si="31"/>
        <v>1</v>
      </c>
      <c r="AX40" s="12">
        <f t="shared" si="31"/>
        <v>1</v>
      </c>
      <c r="AY40" s="12">
        <f t="shared" si="31"/>
        <v>0</v>
      </c>
      <c r="AZ40" s="12">
        <f t="shared" si="31"/>
        <v>1</v>
      </c>
      <c r="BA40" s="6"/>
      <c r="BB40" s="6"/>
      <c r="BC40" s="17"/>
      <c r="BD40" s="64"/>
      <c r="BE40" s="15" t="s">
        <v>46</v>
      </c>
      <c r="BF40" s="25" t="s">
        <v>66</v>
      </c>
      <c r="BG40" s="12">
        <f>E12</f>
        <v>-5811</v>
      </c>
      <c r="BH40" s="17"/>
      <c r="BI40" s="47"/>
      <c r="BJ40" s="70"/>
      <c r="BK40" s="71"/>
      <c r="BL40" s="72"/>
      <c r="BM40" s="51"/>
    </row>
    <row r="41" spans="31:65" x14ac:dyDescent="0.2">
      <c r="AE41" s="49"/>
      <c r="AF41" s="5"/>
      <c r="AG41" s="63" t="s">
        <v>61</v>
      </c>
      <c r="AH41" s="63"/>
      <c r="AI41" s="63"/>
      <c r="AJ41" s="63"/>
      <c r="AK41" s="63"/>
      <c r="AL41" s="63"/>
      <c r="AM41" s="63"/>
      <c r="AN41" s="63"/>
      <c r="AO41" s="63"/>
      <c r="AP41" s="63"/>
      <c r="AQ41" s="63"/>
      <c r="AR41" s="63"/>
      <c r="AS41" s="63"/>
      <c r="AT41" s="63"/>
      <c r="AU41" s="63"/>
      <c r="AV41" s="63"/>
      <c r="AW41" s="63"/>
      <c r="AX41" s="63"/>
      <c r="AY41" s="63"/>
      <c r="AZ41" s="63"/>
      <c r="BA41" s="6"/>
      <c r="BB41" s="6"/>
      <c r="BC41" s="17"/>
      <c r="BD41" s="64"/>
      <c r="BE41" s="15"/>
      <c r="BF41" s="63" t="s">
        <v>60</v>
      </c>
      <c r="BG41" s="63"/>
      <c r="BH41" s="17"/>
      <c r="BI41" s="47"/>
      <c r="BJ41" s="70"/>
      <c r="BK41" s="71"/>
      <c r="BL41" s="72"/>
      <c r="BM41" s="51"/>
    </row>
    <row r="42" spans="31:65" x14ac:dyDescent="0.2">
      <c r="AE42" s="49"/>
      <c r="AF42" s="18"/>
      <c r="AG42" s="24"/>
      <c r="AH42" s="20">
        <f t="shared" ref="AH42:AZ42" si="32">IF(AH39=".",".",IF(MOD(AH39+AH40+AH38,2)&lt;&gt;0,1,0))</f>
        <v>0</v>
      </c>
      <c r="AI42" s="20">
        <f t="shared" si="32"/>
        <v>0</v>
      </c>
      <c r="AJ42" s="20">
        <f t="shared" si="32"/>
        <v>1</v>
      </c>
      <c r="AK42" s="20">
        <f t="shared" si="32"/>
        <v>0</v>
      </c>
      <c r="AL42" s="20" t="str">
        <f t="shared" si="32"/>
        <v>.</v>
      </c>
      <c r="AM42" s="20">
        <f t="shared" si="32"/>
        <v>0</v>
      </c>
      <c r="AN42" s="20">
        <f t="shared" si="32"/>
        <v>1</v>
      </c>
      <c r="AO42" s="20">
        <f t="shared" si="32"/>
        <v>1</v>
      </c>
      <c r="AP42" s="20">
        <f t="shared" si="32"/>
        <v>0</v>
      </c>
      <c r="AQ42" s="20" t="str">
        <f t="shared" si="32"/>
        <v>.</v>
      </c>
      <c r="AR42" s="20">
        <f t="shared" si="32"/>
        <v>0</v>
      </c>
      <c r="AS42" s="20">
        <f t="shared" si="32"/>
        <v>0</v>
      </c>
      <c r="AT42" s="20">
        <f t="shared" si="32"/>
        <v>0</v>
      </c>
      <c r="AU42" s="20">
        <f t="shared" si="32"/>
        <v>0</v>
      </c>
      <c r="AV42" s="20" t="str">
        <f t="shared" si="32"/>
        <v>.</v>
      </c>
      <c r="AW42" s="20">
        <f t="shared" si="32"/>
        <v>1</v>
      </c>
      <c r="AX42" s="20">
        <f t="shared" si="32"/>
        <v>1</v>
      </c>
      <c r="AY42" s="20">
        <f t="shared" si="32"/>
        <v>1</v>
      </c>
      <c r="AZ42" s="20">
        <f t="shared" si="32"/>
        <v>0</v>
      </c>
      <c r="BA42" s="21" t="s">
        <v>49</v>
      </c>
      <c r="BB42" s="19">
        <f>IF(AH42=0,
     AI42*2^14+AJ42*2^13+AK42*2^12+AM42*2^11+AN42*2^10+AO42*2^9+AP42*2^8+AR42*2^7+AS42*2^6+AT42*2^5+ AU42*2^4+AW42*2^3+AX42*2^2+AY42*2^1+AZ42,
     -((1-AI42)*2^14 +(1-AJ42)*2^13+(1-AK42)*2^12+(1-AM42)*2^11+(1-AN42)*2^10+(1-AO42)*2^9+(1-AP42)*2^8+(1-AR42)*2^7+(1-AS42)*2^6+(1-AT42)*2^5+(1-AU42)*2^4+(1-AW42)*2^3+(1-AX42)*2^2+(1-AY42)*2^1+(1-AZ42) + 1)
)</f>
        <v>9742</v>
      </c>
      <c r="BC42" s="22" t="s">
        <v>50</v>
      </c>
      <c r="BD42" s="64"/>
      <c r="BE42" s="18"/>
      <c r="BF42" s="24"/>
      <c r="BG42" s="19">
        <f>BG39+BG40</f>
        <v>9742</v>
      </c>
      <c r="BH42" s="22" t="s">
        <v>50</v>
      </c>
      <c r="BI42" s="47"/>
      <c r="BJ42" s="70"/>
      <c r="BK42" s="71"/>
      <c r="BL42" s="72"/>
      <c r="BM42" s="51"/>
    </row>
    <row r="43" spans="31:65" x14ac:dyDescent="0.2">
      <c r="AE43" s="45"/>
      <c r="AF43" s="44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47"/>
      <c r="BG43" s="47"/>
      <c r="BH43" s="47"/>
      <c r="BI43" s="47"/>
      <c r="BJ43" s="73"/>
      <c r="BK43" s="74"/>
      <c r="BL43" s="75"/>
      <c r="BM43" s="51"/>
    </row>
    <row r="44" spans="31:65" x14ac:dyDescent="0.2">
      <c r="AE44" s="45"/>
      <c r="AF44" s="47"/>
      <c r="AG44" s="47"/>
      <c r="AH44" s="51"/>
      <c r="AI44" s="10"/>
      <c r="AJ44" s="10"/>
      <c r="AK44" s="16"/>
      <c r="AL44" s="10"/>
      <c r="AM44" s="10"/>
      <c r="AN44" s="16"/>
      <c r="AO44" s="10"/>
      <c r="AP44" s="10"/>
      <c r="AQ44" s="16"/>
      <c r="AR44" s="47"/>
      <c r="AS44" s="47"/>
      <c r="AT44" s="47"/>
      <c r="AU44" s="47"/>
      <c r="AV44" s="47"/>
      <c r="AW44" s="47"/>
      <c r="AX44" s="47"/>
      <c r="AY44" s="47"/>
      <c r="AZ44" s="47"/>
      <c r="BA44" s="47"/>
      <c r="BB44" s="47"/>
      <c r="BC44" s="47"/>
      <c r="BD44" s="47"/>
      <c r="BE44" s="47"/>
      <c r="BF44" s="47"/>
      <c r="BG44" s="47"/>
      <c r="BH44" s="47"/>
      <c r="BI44" s="47"/>
      <c r="BJ44" s="47"/>
      <c r="BK44" s="47"/>
      <c r="BL44" s="47"/>
      <c r="BM44" s="51"/>
    </row>
    <row r="45" spans="31:65" x14ac:dyDescent="0.2">
      <c r="AE45" s="45"/>
      <c r="AF45" s="47"/>
      <c r="AG45" s="47"/>
      <c r="AH45" s="51"/>
      <c r="AI45" s="12" t="s">
        <v>51</v>
      </c>
      <c r="AJ45" s="12" t="s">
        <v>52</v>
      </c>
      <c r="AK45" s="25">
        <f>IF(AH38+AH39+AH40&gt;1,1,0)</f>
        <v>1</v>
      </c>
      <c r="AL45" s="12" t="s">
        <v>53</v>
      </c>
      <c r="AM45" s="12" t="s">
        <v>52</v>
      </c>
      <c r="AN45" s="25">
        <f>IF(MOD(AW42+AX42+AY42+AZ42,2)=0,1,0)</f>
        <v>0</v>
      </c>
      <c r="AO45" s="12" t="s">
        <v>54</v>
      </c>
      <c r="AP45" s="12" t="s">
        <v>52</v>
      </c>
      <c r="AQ45" s="25">
        <f>AU38</f>
        <v>0</v>
      </c>
      <c r="AR45" s="47"/>
      <c r="AS45" s="53"/>
      <c r="AT45" s="47"/>
      <c r="AU45" s="47"/>
      <c r="AV45" s="47"/>
      <c r="AW45" s="47"/>
      <c r="AX45" s="47"/>
      <c r="AY45" s="47"/>
      <c r="AZ45" s="47"/>
      <c r="BA45" s="47"/>
      <c r="BB45" s="47"/>
      <c r="BC45" s="47"/>
      <c r="BD45" s="47"/>
      <c r="BE45" s="47"/>
      <c r="BF45" s="47"/>
      <c r="BG45" s="47"/>
      <c r="BH45" s="47"/>
      <c r="BI45" s="47"/>
      <c r="BJ45" s="47"/>
      <c r="BK45" s="47"/>
      <c r="BL45" s="47"/>
      <c r="BM45" s="51"/>
    </row>
    <row r="46" spans="31:65" x14ac:dyDescent="0.2">
      <c r="AE46" s="45"/>
      <c r="AF46" s="47"/>
      <c r="AG46" s="47"/>
      <c r="AH46" s="51"/>
      <c r="AI46" s="20"/>
      <c r="AJ46" s="20"/>
      <c r="AK46" s="42"/>
      <c r="AL46" s="20"/>
      <c r="AM46" s="20"/>
      <c r="AN46" s="42"/>
      <c r="AO46" s="20"/>
      <c r="AP46" s="20"/>
      <c r="AQ46" s="17"/>
      <c r="AR46" s="47"/>
      <c r="AS46" s="53"/>
      <c r="AT46" s="47"/>
      <c r="AU46" s="47"/>
      <c r="AV46" s="47"/>
      <c r="AW46" s="47"/>
      <c r="AX46" s="47"/>
      <c r="AY46" s="47"/>
      <c r="AZ46" s="47"/>
      <c r="BA46" s="47"/>
      <c r="BB46" s="47"/>
      <c r="BC46" s="47"/>
      <c r="BD46" s="47"/>
      <c r="BE46" s="47"/>
      <c r="BF46" s="47"/>
      <c r="BG46" s="47"/>
      <c r="BH46" s="47"/>
      <c r="BI46" s="47"/>
      <c r="BJ46" s="47"/>
      <c r="BK46" s="47"/>
      <c r="BL46" s="47"/>
      <c r="BM46" s="51"/>
    </row>
    <row r="47" spans="31:65" x14ac:dyDescent="0.2">
      <c r="AE47" s="45"/>
      <c r="AF47" s="47"/>
      <c r="AG47" s="47"/>
      <c r="AH47" s="51"/>
      <c r="AI47" s="10"/>
      <c r="AJ47" s="6"/>
      <c r="AK47" s="6"/>
      <c r="AL47" s="14"/>
      <c r="AM47" s="6"/>
      <c r="AN47" s="6"/>
      <c r="AO47" s="14"/>
      <c r="AP47" s="6"/>
      <c r="AQ47" s="16"/>
      <c r="AR47" s="47"/>
      <c r="AS47" s="47"/>
      <c r="AT47" s="47"/>
      <c r="AU47" s="47"/>
      <c r="AV47" s="47"/>
      <c r="AW47" s="47"/>
      <c r="AX47" s="47"/>
      <c r="AY47" s="47"/>
      <c r="AZ47" s="47"/>
      <c r="BA47" s="47"/>
      <c r="BB47" s="47"/>
      <c r="BC47" s="47"/>
      <c r="BD47" s="47"/>
      <c r="BE47" s="47"/>
      <c r="BF47" s="47"/>
      <c r="BG47" s="47"/>
      <c r="BH47" s="47"/>
      <c r="BI47" s="47"/>
      <c r="BJ47" s="47"/>
      <c r="BK47" s="47"/>
      <c r="BL47" s="47"/>
      <c r="BM47" s="51"/>
    </row>
    <row r="48" spans="31:65" x14ac:dyDescent="0.2">
      <c r="AE48" s="45"/>
      <c r="AF48" s="47"/>
      <c r="AG48" s="47"/>
      <c r="AH48" s="51"/>
      <c r="AI48" s="12" t="s">
        <v>55</v>
      </c>
      <c r="AJ48" s="12" t="s">
        <v>52</v>
      </c>
      <c r="AK48" s="25">
        <f>IF(BB42=0,1,0)</f>
        <v>0</v>
      </c>
      <c r="AL48" s="12" t="s">
        <v>56</v>
      </c>
      <c r="AM48" s="12" t="s">
        <v>52</v>
      </c>
      <c r="AN48" s="25">
        <f>AH42</f>
        <v>0</v>
      </c>
      <c r="AO48" s="12" t="s">
        <v>57</v>
      </c>
      <c r="AP48" s="12" t="s">
        <v>52</v>
      </c>
      <c r="AQ48" s="25">
        <f>IF(AND(AH39=AH40,AH39&lt;&gt;AH42),1,0)</f>
        <v>0</v>
      </c>
      <c r="AR48" s="47"/>
      <c r="AS48" s="53"/>
      <c r="AT48" s="47"/>
      <c r="AU48" s="47"/>
      <c r="AV48" s="47"/>
      <c r="AW48" s="47"/>
      <c r="AX48" s="47"/>
      <c r="AY48" s="47"/>
      <c r="AZ48" s="47"/>
      <c r="BA48" s="47"/>
      <c r="BB48" s="47"/>
      <c r="BC48" s="47"/>
      <c r="BD48" s="47"/>
      <c r="BE48" s="47"/>
      <c r="BF48" s="47"/>
      <c r="BG48" s="47"/>
      <c r="BH48" s="47"/>
      <c r="BI48" s="47"/>
      <c r="BJ48" s="47"/>
      <c r="BK48" s="47"/>
      <c r="BL48" s="47"/>
      <c r="BM48" s="51"/>
    </row>
    <row r="49" spans="31:65" x14ac:dyDescent="0.2">
      <c r="AE49" s="45"/>
      <c r="AF49" s="47"/>
      <c r="AG49" s="47"/>
      <c r="AH49" s="51"/>
      <c r="AI49" s="18"/>
      <c r="AJ49" s="19"/>
      <c r="AK49" s="24"/>
      <c r="AL49" s="19"/>
      <c r="AM49" s="19"/>
      <c r="AN49" s="24"/>
      <c r="AO49" s="19"/>
      <c r="AP49" s="19"/>
      <c r="AQ49" s="24"/>
      <c r="AR49" s="47"/>
      <c r="AS49" s="47"/>
      <c r="AT49" s="47"/>
      <c r="AU49" s="47"/>
      <c r="AV49" s="47"/>
      <c r="AW49" s="47"/>
      <c r="AX49" s="47"/>
      <c r="AY49" s="47"/>
      <c r="AZ49" s="47"/>
      <c r="BA49" s="47"/>
      <c r="BB49" s="47"/>
      <c r="BC49" s="47"/>
      <c r="BD49" s="47"/>
      <c r="BE49" s="47"/>
      <c r="BF49" s="47"/>
      <c r="BG49" s="47"/>
      <c r="BH49" s="47"/>
      <c r="BI49" s="47"/>
      <c r="BJ49" s="47"/>
      <c r="BK49" s="47"/>
      <c r="BL49" s="47"/>
      <c r="BM49" s="51"/>
    </row>
    <row r="50" spans="31:65" x14ac:dyDescent="0.2">
      <c r="AE50" s="50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46"/>
      <c r="BC50" s="46"/>
      <c r="BD50" s="46"/>
      <c r="BE50" s="46"/>
      <c r="BF50" s="46"/>
      <c r="BG50" s="46"/>
      <c r="BH50" s="46"/>
      <c r="BI50" s="46"/>
      <c r="BJ50" s="46"/>
      <c r="BK50" s="46"/>
      <c r="BL50" s="46"/>
      <c r="BM50" s="52"/>
    </row>
    <row r="53" spans="31:65" x14ac:dyDescent="0.2">
      <c r="AE53" s="43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8"/>
    </row>
    <row r="54" spans="31:65" x14ac:dyDescent="0.2">
      <c r="AE54" s="45"/>
      <c r="AF54" s="46"/>
      <c r="AG54" s="47"/>
      <c r="AH54" s="47"/>
      <c r="AI54" s="47"/>
      <c r="AJ54" s="47"/>
      <c r="AK54" s="47"/>
      <c r="AL54" s="47"/>
      <c r="AM54" s="47"/>
      <c r="AN54" s="47"/>
      <c r="AO54" s="47"/>
      <c r="AP54" s="47"/>
      <c r="AQ54" s="47"/>
      <c r="AR54" s="47"/>
      <c r="AS54" s="47"/>
      <c r="AT54" s="47"/>
      <c r="AU54" s="47"/>
      <c r="AV54" s="47"/>
      <c r="AW54" s="47"/>
      <c r="AX54" s="47"/>
      <c r="AY54" s="47"/>
      <c r="AZ54" s="47"/>
      <c r="BA54" s="47"/>
      <c r="BB54" s="47"/>
      <c r="BC54" s="47"/>
      <c r="BD54" s="47"/>
      <c r="BE54" s="47"/>
      <c r="BF54" s="47"/>
      <c r="BG54" s="47"/>
      <c r="BH54" s="47"/>
      <c r="BI54" s="47"/>
      <c r="BJ54" s="67" t="str">
        <f>"При сложении "&amp;
IF(AND(AH56=0,AH57=0),"двух положительных слагаемых",IF(AND(AH56=1,AH57=1),"двух отрицательных слагаемых","положительного и отрицательного слагаемого"))&amp;
" получено "&amp;
IF(AH59=0,"положительное число. ","отрицательное число. ")&amp;
IF(BD55="=","Результат выполнения операции верный и корректный, совпадает с суммой десятичных эквивалентов.","Результат выполнения операции не совпадает с суммой десяитчных эквивалентов, так как произошло переполнение.")</f>
        <v>При сложении двух отрицательных слагаемых получено отрицательное число. Результат выполнения операции верный и корректный, совпадает с суммой десятичных эквивалентов.</v>
      </c>
      <c r="BK54" s="68"/>
      <c r="BL54" s="69"/>
      <c r="BM54" s="51"/>
    </row>
    <row r="55" spans="31:65" x14ac:dyDescent="0.2">
      <c r="AE55" s="49"/>
      <c r="AF55" s="14"/>
      <c r="AG55" s="16"/>
      <c r="AH55" s="7">
        <f t="shared" ref="AH55:AZ55" si="33">IF(AH56=".","",IF(AI56=".",IF(AJ56+AJ57+AJ55&gt;=2,1,0),IF(AI56+AI57+AI55&gt;=2,1,0)))</f>
        <v>1</v>
      </c>
      <c r="AI55" s="7">
        <f t="shared" si="33"/>
        <v>0</v>
      </c>
      <c r="AJ55" s="7">
        <f t="shared" si="33"/>
        <v>0</v>
      </c>
      <c r="AK55" s="7">
        <f t="shared" si="33"/>
        <v>0</v>
      </c>
      <c r="AL55" s="7" t="str">
        <f t="shared" si="33"/>
        <v/>
      </c>
      <c r="AM55" s="7">
        <f t="shared" si="33"/>
        <v>0</v>
      </c>
      <c r="AN55" s="7">
        <f t="shared" si="33"/>
        <v>1</v>
      </c>
      <c r="AO55" s="7">
        <f t="shared" si="33"/>
        <v>1</v>
      </c>
      <c r="AP55" s="7">
        <f t="shared" si="33"/>
        <v>0</v>
      </c>
      <c r="AQ55" s="7" t="str">
        <f t="shared" si="33"/>
        <v/>
      </c>
      <c r="AR55" s="7">
        <f t="shared" si="33"/>
        <v>1</v>
      </c>
      <c r="AS55" s="7">
        <f t="shared" si="33"/>
        <v>1</v>
      </c>
      <c r="AT55" s="7">
        <f t="shared" si="33"/>
        <v>1</v>
      </c>
      <c r="AU55" s="7">
        <f t="shared" si="33"/>
        <v>1</v>
      </c>
      <c r="AV55" s="7" t="str">
        <f t="shared" si="33"/>
        <v/>
      </c>
      <c r="AW55" s="7">
        <f t="shared" si="33"/>
        <v>1</v>
      </c>
      <c r="AX55" s="7">
        <f t="shared" si="33"/>
        <v>1</v>
      </c>
      <c r="AY55" s="7">
        <f t="shared" si="33"/>
        <v>1</v>
      </c>
      <c r="AZ55" s="7">
        <f t="shared" si="33"/>
        <v>0</v>
      </c>
      <c r="BA55" s="10"/>
      <c r="BB55" s="10"/>
      <c r="BC55" s="16"/>
      <c r="BD55" s="64" t="str">
        <f>IF(BB59=BG59,"=","!=")</f>
        <v>=</v>
      </c>
      <c r="BE55" s="14"/>
      <c r="BF55" s="16"/>
      <c r="BG55" s="10"/>
      <c r="BH55" s="16"/>
      <c r="BI55" s="47"/>
      <c r="BJ55" s="70"/>
      <c r="BK55" s="71"/>
      <c r="BL55" s="72"/>
      <c r="BM55" s="51"/>
    </row>
    <row r="56" spans="31:65" x14ac:dyDescent="0.2">
      <c r="AE56" s="49"/>
      <c r="AF56" s="5"/>
      <c r="AG56" s="23" t="s">
        <v>65</v>
      </c>
      <c r="AH56" s="12">
        <f>I12</f>
        <v>1</v>
      </c>
      <c r="AI56" s="12">
        <f t="shared" ref="AI56:AZ56" si="34">J12</f>
        <v>1</v>
      </c>
      <c r="AJ56" s="12">
        <f t="shared" si="34"/>
        <v>1</v>
      </c>
      <c r="AK56" s="12">
        <f t="shared" si="34"/>
        <v>0</v>
      </c>
      <c r="AL56" s="12" t="str">
        <f t="shared" si="34"/>
        <v>.</v>
      </c>
      <c r="AM56" s="12">
        <f t="shared" si="34"/>
        <v>1</v>
      </c>
      <c r="AN56" s="12">
        <f t="shared" si="34"/>
        <v>0</v>
      </c>
      <c r="AO56" s="12">
        <f t="shared" si="34"/>
        <v>0</v>
      </c>
      <c r="AP56" s="12">
        <f t="shared" si="34"/>
        <v>1</v>
      </c>
      <c r="AQ56" s="12" t="str">
        <f t="shared" si="34"/>
        <v>.</v>
      </c>
      <c r="AR56" s="12">
        <f t="shared" si="34"/>
        <v>0</v>
      </c>
      <c r="AS56" s="12">
        <f t="shared" si="34"/>
        <v>1</v>
      </c>
      <c r="AT56" s="12">
        <f t="shared" si="34"/>
        <v>0</v>
      </c>
      <c r="AU56" s="12">
        <f t="shared" si="34"/>
        <v>0</v>
      </c>
      <c r="AV56" s="12" t="str">
        <f t="shared" si="34"/>
        <v>.</v>
      </c>
      <c r="AW56" s="12">
        <f t="shared" si="34"/>
        <v>1</v>
      </c>
      <c r="AX56" s="12">
        <f t="shared" si="34"/>
        <v>1</v>
      </c>
      <c r="AY56" s="12">
        <f t="shared" si="34"/>
        <v>0</v>
      </c>
      <c r="AZ56" s="12">
        <f t="shared" si="34"/>
        <v>1</v>
      </c>
      <c r="BA56" s="6"/>
      <c r="BB56" s="6"/>
      <c r="BC56" s="17"/>
      <c r="BD56" s="64"/>
      <c r="BE56" s="5"/>
      <c r="BF56" s="25" t="s">
        <v>66</v>
      </c>
      <c r="BG56" s="12">
        <f>E12</f>
        <v>-5811</v>
      </c>
      <c r="BH56" s="17"/>
      <c r="BI56" s="47"/>
      <c r="BJ56" s="70"/>
      <c r="BK56" s="71"/>
      <c r="BL56" s="72"/>
      <c r="BM56" s="51"/>
    </row>
    <row r="57" spans="31:65" x14ac:dyDescent="0.2">
      <c r="AE57" s="49"/>
      <c r="AF57" s="15" t="s">
        <v>46</v>
      </c>
      <c r="AG57" s="23" t="s">
        <v>67</v>
      </c>
      <c r="AH57" s="12">
        <f>I13</f>
        <v>1</v>
      </c>
      <c r="AI57" s="12">
        <f t="shared" ref="AI57:AZ57" si="35">J13</f>
        <v>1</v>
      </c>
      <c r="AJ57" s="12">
        <f t="shared" si="35"/>
        <v>0</v>
      </c>
      <c r="AK57" s="12">
        <f t="shared" si="35"/>
        <v>0</v>
      </c>
      <c r="AL57" s="12" t="str">
        <f t="shared" si="35"/>
        <v>.</v>
      </c>
      <c r="AM57" s="12">
        <f t="shared" si="35"/>
        <v>0</v>
      </c>
      <c r="AN57" s="12">
        <f t="shared" si="35"/>
        <v>0</v>
      </c>
      <c r="AO57" s="12">
        <f t="shared" si="35"/>
        <v>1</v>
      </c>
      <c r="AP57" s="12">
        <f t="shared" si="35"/>
        <v>1</v>
      </c>
      <c r="AQ57" s="12" t="str">
        <f t="shared" si="35"/>
        <v>.</v>
      </c>
      <c r="AR57" s="12">
        <f t="shared" si="35"/>
        <v>0</v>
      </c>
      <c r="AS57" s="12">
        <f t="shared" si="35"/>
        <v>0</v>
      </c>
      <c r="AT57" s="12">
        <f t="shared" si="35"/>
        <v>1</v>
      </c>
      <c r="AU57" s="12">
        <f t="shared" si="35"/>
        <v>1</v>
      </c>
      <c r="AV57" s="12" t="str">
        <f t="shared" si="35"/>
        <v>.</v>
      </c>
      <c r="AW57" s="12">
        <f t="shared" si="35"/>
        <v>1</v>
      </c>
      <c r="AX57" s="12">
        <f t="shared" si="35"/>
        <v>1</v>
      </c>
      <c r="AY57" s="12">
        <f t="shared" si="35"/>
        <v>1</v>
      </c>
      <c r="AZ57" s="12">
        <f t="shared" si="35"/>
        <v>1</v>
      </c>
      <c r="BA57" s="6"/>
      <c r="BB57" s="6"/>
      <c r="BC57" s="17"/>
      <c r="BD57" s="64"/>
      <c r="BE57" s="15" t="s">
        <v>46</v>
      </c>
      <c r="BF57" s="25" t="s">
        <v>68</v>
      </c>
      <c r="BG57" s="12">
        <f>E13</f>
        <v>-15553</v>
      </c>
      <c r="BH57" s="17"/>
      <c r="BI57" s="47"/>
      <c r="BJ57" s="70"/>
      <c r="BK57" s="71"/>
      <c r="BL57" s="72"/>
      <c r="BM57" s="51"/>
    </row>
    <row r="58" spans="31:65" x14ac:dyDescent="0.2">
      <c r="AE58" s="49"/>
      <c r="AF58" s="5"/>
      <c r="AG58" s="63" t="s">
        <v>61</v>
      </c>
      <c r="AH58" s="63"/>
      <c r="AI58" s="63"/>
      <c r="AJ58" s="63"/>
      <c r="AK58" s="63"/>
      <c r="AL58" s="63"/>
      <c r="AM58" s="63"/>
      <c r="AN58" s="63"/>
      <c r="AO58" s="63"/>
      <c r="AP58" s="63"/>
      <c r="AQ58" s="63"/>
      <c r="AR58" s="63"/>
      <c r="AS58" s="63"/>
      <c r="AT58" s="63"/>
      <c r="AU58" s="63"/>
      <c r="AV58" s="63"/>
      <c r="AW58" s="63"/>
      <c r="AX58" s="63"/>
      <c r="AY58" s="63"/>
      <c r="AZ58" s="63"/>
      <c r="BA58" s="6"/>
      <c r="BB58" s="6"/>
      <c r="BC58" s="17"/>
      <c r="BD58" s="64"/>
      <c r="BE58" s="15"/>
      <c r="BF58" s="63" t="s">
        <v>60</v>
      </c>
      <c r="BG58" s="63"/>
      <c r="BH58" s="17"/>
      <c r="BI58" s="47"/>
      <c r="BJ58" s="70"/>
      <c r="BK58" s="71"/>
      <c r="BL58" s="72"/>
      <c r="BM58" s="51"/>
    </row>
    <row r="59" spans="31:65" x14ac:dyDescent="0.2">
      <c r="AE59" s="49"/>
      <c r="AF59" s="18"/>
      <c r="AG59" s="24"/>
      <c r="AH59" s="20">
        <f t="shared" ref="AH59:AZ59" si="36">IF(AH56=".",".",IF(MOD(AH56+AH57+AH55,2)&lt;&gt;0,1,0))</f>
        <v>1</v>
      </c>
      <c r="AI59" s="20">
        <f t="shared" si="36"/>
        <v>0</v>
      </c>
      <c r="AJ59" s="20">
        <f t="shared" si="36"/>
        <v>1</v>
      </c>
      <c r="AK59" s="20">
        <f t="shared" si="36"/>
        <v>0</v>
      </c>
      <c r="AL59" s="20" t="str">
        <f t="shared" si="36"/>
        <v>.</v>
      </c>
      <c r="AM59" s="20">
        <f t="shared" si="36"/>
        <v>1</v>
      </c>
      <c r="AN59" s="20">
        <f t="shared" si="36"/>
        <v>1</v>
      </c>
      <c r="AO59" s="20">
        <f t="shared" si="36"/>
        <v>0</v>
      </c>
      <c r="AP59" s="20">
        <f t="shared" si="36"/>
        <v>0</v>
      </c>
      <c r="AQ59" s="20" t="str">
        <f t="shared" si="36"/>
        <v>.</v>
      </c>
      <c r="AR59" s="20">
        <f t="shared" si="36"/>
        <v>1</v>
      </c>
      <c r="AS59" s="20">
        <f t="shared" si="36"/>
        <v>0</v>
      </c>
      <c r="AT59" s="20">
        <f t="shared" si="36"/>
        <v>0</v>
      </c>
      <c r="AU59" s="20">
        <f t="shared" si="36"/>
        <v>0</v>
      </c>
      <c r="AV59" s="20" t="str">
        <f t="shared" si="36"/>
        <v>.</v>
      </c>
      <c r="AW59" s="20">
        <f t="shared" si="36"/>
        <v>1</v>
      </c>
      <c r="AX59" s="20">
        <f t="shared" si="36"/>
        <v>1</v>
      </c>
      <c r="AY59" s="20">
        <f t="shared" si="36"/>
        <v>0</v>
      </c>
      <c r="AZ59" s="20">
        <f t="shared" si="36"/>
        <v>0</v>
      </c>
      <c r="BA59" s="21" t="s">
        <v>49</v>
      </c>
      <c r="BB59" s="19">
        <f>IF(AH59=0,
     AI59*2^14+AJ59*2^13+AK59*2^12+AM59*2^11+AN59*2^10+AO59*2^9+AP59*2^8+AR59*2^7+AS59*2^6+AT59*2^5+ AU59*2^4+AW59*2^3+AX59*2^2+AY59*2^1+AZ59,
     -((1-AI59)*2^14 +(1-AJ59)*2^13+(1-AK59)*2^12+(1-AM59)*2^11+(1-AN59)*2^10+(1-AO59)*2^9+(1-AP59)*2^8+(1-AR59)*2^7+(1-AS59)*2^6+(1-AT59)*2^5+(1-AU59)*2^4+(1-AW59)*2^3+(1-AX59)*2^2+(1-AY59)*2^1+(1-AZ59) + 1)
)</f>
        <v>-21364</v>
      </c>
      <c r="BC59" s="22" t="s">
        <v>50</v>
      </c>
      <c r="BD59" s="64"/>
      <c r="BE59" s="18"/>
      <c r="BF59" s="24"/>
      <c r="BG59" s="19">
        <f>BG56+BG57</f>
        <v>-21364</v>
      </c>
      <c r="BH59" s="22" t="s">
        <v>50</v>
      </c>
      <c r="BI59" s="47"/>
      <c r="BJ59" s="70"/>
      <c r="BK59" s="71"/>
      <c r="BL59" s="72"/>
      <c r="BM59" s="51"/>
    </row>
    <row r="60" spans="31:65" x14ac:dyDescent="0.2">
      <c r="AE60" s="45"/>
      <c r="AF60" s="44"/>
      <c r="AG60" s="47"/>
      <c r="AH60" s="47"/>
      <c r="AI60" s="47"/>
      <c r="AJ60" s="47"/>
      <c r="AK60" s="47"/>
      <c r="AL60" s="47"/>
      <c r="AM60" s="47"/>
      <c r="AN60" s="47"/>
      <c r="AO60" s="47"/>
      <c r="AP60" s="47"/>
      <c r="AQ60" s="47"/>
      <c r="AR60" s="47"/>
      <c r="AS60" s="47"/>
      <c r="AT60" s="47"/>
      <c r="AU60" s="47"/>
      <c r="AV60" s="47"/>
      <c r="AW60" s="47"/>
      <c r="AX60" s="47"/>
      <c r="AY60" s="47"/>
      <c r="AZ60" s="47"/>
      <c r="BA60" s="47"/>
      <c r="BB60" s="47"/>
      <c r="BC60" s="47"/>
      <c r="BD60" s="47"/>
      <c r="BE60" s="47"/>
      <c r="BF60" s="47"/>
      <c r="BG60" s="47"/>
      <c r="BH60" s="47"/>
      <c r="BI60" s="47"/>
      <c r="BJ60" s="73"/>
      <c r="BK60" s="74"/>
      <c r="BL60" s="75"/>
      <c r="BM60" s="51"/>
    </row>
    <row r="61" spans="31:65" x14ac:dyDescent="0.2">
      <c r="AE61" s="45"/>
      <c r="AF61" s="47"/>
      <c r="AG61" s="47"/>
      <c r="AH61" s="51"/>
      <c r="AI61" s="10"/>
      <c r="AJ61" s="10"/>
      <c r="AK61" s="16"/>
      <c r="AL61" s="10"/>
      <c r="AM61" s="10"/>
      <c r="AN61" s="16"/>
      <c r="AO61" s="10"/>
      <c r="AP61" s="10"/>
      <c r="AQ61" s="16"/>
      <c r="AR61" s="47"/>
      <c r="AS61" s="47"/>
      <c r="AT61" s="47"/>
      <c r="AU61" s="47"/>
      <c r="AV61" s="47"/>
      <c r="AW61" s="47"/>
      <c r="AX61" s="47"/>
      <c r="AY61" s="47"/>
      <c r="AZ61" s="47"/>
      <c r="BA61" s="47"/>
      <c r="BB61" s="47"/>
      <c r="BC61" s="47"/>
      <c r="BD61" s="47"/>
      <c r="BE61" s="47"/>
      <c r="BF61" s="47"/>
      <c r="BG61" s="47"/>
      <c r="BH61" s="47"/>
      <c r="BI61" s="47"/>
      <c r="BJ61" s="47"/>
      <c r="BK61" s="47"/>
      <c r="BL61" s="47"/>
      <c r="BM61" s="51"/>
    </row>
    <row r="62" spans="31:65" x14ac:dyDescent="0.2">
      <c r="AE62" s="45"/>
      <c r="AF62" s="47"/>
      <c r="AG62" s="47"/>
      <c r="AH62" s="51"/>
      <c r="AI62" s="12" t="s">
        <v>51</v>
      </c>
      <c r="AJ62" s="12" t="s">
        <v>52</v>
      </c>
      <c r="AK62" s="25">
        <f>IF(AH55+AH56+AH57&gt;1,1,0)</f>
        <v>1</v>
      </c>
      <c r="AL62" s="12" t="s">
        <v>53</v>
      </c>
      <c r="AM62" s="12" t="s">
        <v>52</v>
      </c>
      <c r="AN62" s="25">
        <f>IF(MOD(AW59+AX59+AY59+AZ59,2)=0,1,0)</f>
        <v>1</v>
      </c>
      <c r="AO62" s="12" t="s">
        <v>54</v>
      </c>
      <c r="AP62" s="12" t="s">
        <v>52</v>
      </c>
      <c r="AQ62" s="25">
        <f>AU55</f>
        <v>1</v>
      </c>
      <c r="AR62" s="47"/>
      <c r="AS62" s="53"/>
      <c r="AT62" s="47"/>
      <c r="AU62" s="47"/>
      <c r="AV62" s="47"/>
      <c r="AW62" s="47"/>
      <c r="AX62" s="47"/>
      <c r="AY62" s="47"/>
      <c r="AZ62" s="47"/>
      <c r="BA62" s="47"/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51"/>
    </row>
    <row r="63" spans="31:65" x14ac:dyDescent="0.2">
      <c r="AE63" s="45"/>
      <c r="AF63" s="47"/>
      <c r="AG63" s="47"/>
      <c r="AH63" s="51"/>
      <c r="AI63" s="20"/>
      <c r="AJ63" s="20"/>
      <c r="AK63" s="42"/>
      <c r="AL63" s="20"/>
      <c r="AM63" s="20"/>
      <c r="AN63" s="42"/>
      <c r="AO63" s="20"/>
      <c r="AP63" s="20"/>
      <c r="AQ63" s="17"/>
      <c r="AR63" s="47"/>
      <c r="AS63" s="53"/>
      <c r="AT63" s="47"/>
      <c r="AU63" s="47"/>
      <c r="AV63" s="47"/>
      <c r="AW63" s="47"/>
      <c r="AX63" s="47"/>
      <c r="AY63" s="47"/>
      <c r="AZ63" s="47"/>
      <c r="BA63" s="47"/>
      <c r="BB63" s="47"/>
      <c r="BC63" s="47"/>
      <c r="BD63" s="47"/>
      <c r="BE63" s="47"/>
      <c r="BF63" s="47"/>
      <c r="BG63" s="47"/>
      <c r="BH63" s="47"/>
      <c r="BI63" s="47"/>
      <c r="BJ63" s="47"/>
      <c r="BK63" s="47"/>
      <c r="BL63" s="47"/>
      <c r="BM63" s="51"/>
    </row>
    <row r="64" spans="31:65" x14ac:dyDescent="0.2">
      <c r="AE64" s="45"/>
      <c r="AF64" s="47"/>
      <c r="AG64" s="47"/>
      <c r="AH64" s="51"/>
      <c r="AI64" s="10"/>
      <c r="AJ64" s="6"/>
      <c r="AK64" s="6"/>
      <c r="AL64" s="14"/>
      <c r="AM64" s="6"/>
      <c r="AN64" s="6"/>
      <c r="AO64" s="14"/>
      <c r="AP64" s="6"/>
      <c r="AQ64" s="16"/>
      <c r="AR64" s="47"/>
      <c r="AS64" s="47"/>
      <c r="AT64" s="47"/>
      <c r="AU64" s="47"/>
      <c r="AV64" s="47"/>
      <c r="AW64" s="47"/>
      <c r="AX64" s="47"/>
      <c r="AY64" s="47"/>
      <c r="AZ64" s="47"/>
      <c r="BA64" s="47"/>
      <c r="BB64" s="47"/>
      <c r="BC64" s="47"/>
      <c r="BD64" s="47"/>
      <c r="BE64" s="47"/>
      <c r="BF64" s="47"/>
      <c r="BG64" s="47"/>
      <c r="BH64" s="47"/>
      <c r="BI64" s="47"/>
      <c r="BJ64" s="47"/>
      <c r="BK64" s="47"/>
      <c r="BL64" s="47"/>
      <c r="BM64" s="51"/>
    </row>
    <row r="65" spans="31:65" x14ac:dyDescent="0.2">
      <c r="AE65" s="45"/>
      <c r="AF65" s="47"/>
      <c r="AG65" s="47"/>
      <c r="AH65" s="51"/>
      <c r="AI65" s="12" t="s">
        <v>55</v>
      </c>
      <c r="AJ65" s="12" t="s">
        <v>52</v>
      </c>
      <c r="AK65" s="25">
        <f>IF(BB59=0,1,0)</f>
        <v>0</v>
      </c>
      <c r="AL65" s="12" t="s">
        <v>56</v>
      </c>
      <c r="AM65" s="12" t="s">
        <v>52</v>
      </c>
      <c r="AN65" s="25">
        <f>AH59</f>
        <v>1</v>
      </c>
      <c r="AO65" s="12" t="s">
        <v>57</v>
      </c>
      <c r="AP65" s="12" t="s">
        <v>52</v>
      </c>
      <c r="AQ65" s="25">
        <f>IF(AND(AH56=AH57,AH56&lt;&gt;AH59),1,0)</f>
        <v>0</v>
      </c>
      <c r="AR65" s="47"/>
      <c r="AS65" s="53"/>
      <c r="AT65" s="47"/>
      <c r="AU65" s="47"/>
      <c r="AV65" s="47"/>
      <c r="AW65" s="47"/>
      <c r="AX65" s="47"/>
      <c r="AY65" s="47"/>
      <c r="AZ65" s="47"/>
      <c r="BA65" s="47"/>
      <c r="BB65" s="47"/>
      <c r="BC65" s="47"/>
      <c r="BD65" s="47"/>
      <c r="BE65" s="47"/>
      <c r="BF65" s="47"/>
      <c r="BG65" s="47"/>
      <c r="BH65" s="47"/>
      <c r="BI65" s="47"/>
      <c r="BJ65" s="47"/>
      <c r="BK65" s="47"/>
      <c r="BL65" s="47"/>
      <c r="BM65" s="51"/>
    </row>
    <row r="66" spans="31:65" x14ac:dyDescent="0.2">
      <c r="AE66" s="45"/>
      <c r="AF66" s="47"/>
      <c r="AG66" s="47"/>
      <c r="AH66" s="51"/>
      <c r="AI66" s="18"/>
      <c r="AJ66" s="19"/>
      <c r="AK66" s="24"/>
      <c r="AL66" s="19"/>
      <c r="AM66" s="19"/>
      <c r="AN66" s="24"/>
      <c r="AO66" s="19"/>
      <c r="AP66" s="19"/>
      <c r="AQ66" s="24"/>
      <c r="AR66" s="47"/>
      <c r="AS66" s="47"/>
      <c r="AT66" s="47"/>
      <c r="AU66" s="47"/>
      <c r="AV66" s="47"/>
      <c r="AW66" s="47"/>
      <c r="AX66" s="47"/>
      <c r="AY66" s="47"/>
      <c r="AZ66" s="47"/>
      <c r="BA66" s="47"/>
      <c r="BB66" s="47"/>
      <c r="BC66" s="47"/>
      <c r="BD66" s="47"/>
      <c r="BE66" s="47"/>
      <c r="BF66" s="47"/>
      <c r="BG66" s="47"/>
      <c r="BH66" s="47"/>
      <c r="BI66" s="47"/>
      <c r="BJ66" s="47"/>
      <c r="BK66" s="47"/>
      <c r="BL66" s="47"/>
      <c r="BM66" s="51"/>
    </row>
    <row r="67" spans="31:65" x14ac:dyDescent="0.2">
      <c r="AE67" s="50"/>
      <c r="AF67" s="46"/>
      <c r="AG67" s="46"/>
      <c r="AH67" s="46"/>
      <c r="AI67" s="46"/>
      <c r="AJ67" s="46"/>
      <c r="AK67" s="46"/>
      <c r="AL67" s="46"/>
      <c r="AM67" s="46"/>
      <c r="AN67" s="46"/>
      <c r="AO67" s="46"/>
      <c r="AP67" s="46"/>
      <c r="AQ67" s="46"/>
      <c r="AR67" s="46"/>
      <c r="AS67" s="46"/>
      <c r="AT67" s="46"/>
      <c r="AU67" s="46"/>
      <c r="AV67" s="46"/>
      <c r="AW67" s="46"/>
      <c r="AX67" s="46"/>
      <c r="AY67" s="46"/>
      <c r="AZ67" s="46"/>
      <c r="BA67" s="46"/>
      <c r="BB67" s="46"/>
      <c r="BC67" s="46"/>
      <c r="BD67" s="46"/>
      <c r="BE67" s="46"/>
      <c r="BF67" s="46"/>
      <c r="BG67" s="46"/>
      <c r="BH67" s="46"/>
      <c r="BI67" s="46"/>
      <c r="BJ67" s="46"/>
      <c r="BK67" s="46"/>
      <c r="BL67" s="46"/>
      <c r="BM67" s="52"/>
    </row>
    <row r="70" spans="31:65" x14ac:dyDescent="0.2">
      <c r="AE70" s="43"/>
      <c r="AF70" s="44"/>
      <c r="AG70" s="44"/>
      <c r="AH70" s="44"/>
      <c r="AI70" s="44"/>
      <c r="AJ70" s="44"/>
      <c r="AK70" s="44"/>
      <c r="AL70" s="44"/>
      <c r="AM70" s="44"/>
      <c r="AN70" s="44"/>
      <c r="AO70" s="44"/>
      <c r="AP70" s="44"/>
      <c r="AQ70" s="44"/>
      <c r="AR70" s="44"/>
      <c r="AS70" s="44"/>
      <c r="AT70" s="44"/>
      <c r="AU70" s="44"/>
      <c r="AV70" s="44"/>
      <c r="AW70" s="44"/>
      <c r="AX70" s="44"/>
      <c r="AY70" s="44"/>
      <c r="AZ70" s="44"/>
      <c r="BA70" s="44"/>
      <c r="BB70" s="44"/>
      <c r="BC70" s="44"/>
      <c r="BD70" s="44"/>
      <c r="BE70" s="44"/>
      <c r="BF70" s="44"/>
      <c r="BG70" s="44"/>
      <c r="BH70" s="44"/>
      <c r="BI70" s="44"/>
      <c r="BJ70" s="44"/>
      <c r="BK70" s="44"/>
      <c r="BL70" s="44"/>
      <c r="BM70" s="48"/>
    </row>
    <row r="71" spans="31:65" x14ac:dyDescent="0.2">
      <c r="AE71" s="45"/>
      <c r="AF71" s="46"/>
      <c r="AG71" s="47"/>
      <c r="AH71" s="47"/>
      <c r="AI71" s="47"/>
      <c r="AJ71" s="47"/>
      <c r="AK71" s="47"/>
      <c r="AL71" s="47"/>
      <c r="AM71" s="47"/>
      <c r="AN71" s="47"/>
      <c r="AO71" s="47"/>
      <c r="AP71" s="47"/>
      <c r="AQ71" s="47"/>
      <c r="AR71" s="47"/>
      <c r="AS71" s="47"/>
      <c r="AT71" s="47"/>
      <c r="AU71" s="47"/>
      <c r="AV71" s="47"/>
      <c r="AW71" s="47"/>
      <c r="AX71" s="47"/>
      <c r="AY71" s="47"/>
      <c r="AZ71" s="47"/>
      <c r="BA71" s="47"/>
      <c r="BB71" s="47"/>
      <c r="BC71" s="47"/>
      <c r="BD71" s="47"/>
      <c r="BE71" s="47"/>
      <c r="BF71" s="47"/>
      <c r="BG71" s="47"/>
      <c r="BH71" s="47"/>
      <c r="BI71" s="47"/>
      <c r="BJ71" s="67" t="str">
        <f>"При сложении "&amp;
IF(AND(AH73=0,AH74=0),"двух положительных слагаемых",IF(AND(AH73=1,AH74=1),"двух отрицательных слагаемых","положительного и отрицательного слагаемого"))&amp;
" получено "&amp;
IF(AH76=0,"положительное число. ","отрицательное число. ")&amp;
IF(BD72="=","Результат выполнения операции верный и корректный, совпадает с суммой десятичных эквивалентов.","Результат выполнения операции не совпадает с суммой десяитчных эквивалентов, так как произошло переполнение.")</f>
        <v>При сложении двух отрицательных слагаемых получено положительное число. Результат выполнения операции не совпадает с суммой десяитчных эквивалентов, так как произошло переполнение.</v>
      </c>
      <c r="BK71" s="68"/>
      <c r="BL71" s="69"/>
      <c r="BM71" s="51"/>
    </row>
    <row r="72" spans="31:65" x14ac:dyDescent="0.2">
      <c r="AE72" s="49"/>
      <c r="AF72" s="14"/>
      <c r="AG72" s="16"/>
      <c r="AH72" s="7">
        <f t="shared" ref="AH72:AZ72" si="37">IF(AH73=".","",IF(AI73=".",IF(AJ73+AJ74+AJ72&gt;=2,1,0),IF(AI73+AI74+AI72&gt;=2,1,0)))</f>
        <v>0</v>
      </c>
      <c r="AI72" s="7">
        <f t="shared" si="37"/>
        <v>0</v>
      </c>
      <c r="AJ72" s="7">
        <f t="shared" si="37"/>
        <v>0</v>
      </c>
      <c r="AK72" s="7">
        <f t="shared" si="37"/>
        <v>0</v>
      </c>
      <c r="AL72" s="7" t="str">
        <f t="shared" si="37"/>
        <v/>
      </c>
      <c r="AM72" s="7">
        <f t="shared" si="37"/>
        <v>0</v>
      </c>
      <c r="AN72" s="7">
        <f t="shared" si="37"/>
        <v>0</v>
      </c>
      <c r="AO72" s="7">
        <f t="shared" si="37"/>
        <v>0</v>
      </c>
      <c r="AP72" s="7">
        <f t="shared" si="37"/>
        <v>0</v>
      </c>
      <c r="AQ72" s="7" t="str">
        <f t="shared" si="37"/>
        <v/>
      </c>
      <c r="AR72" s="7">
        <f t="shared" si="37"/>
        <v>0</v>
      </c>
      <c r="AS72" s="7">
        <f t="shared" si="37"/>
        <v>1</v>
      </c>
      <c r="AT72" s="7">
        <f t="shared" si="37"/>
        <v>1</v>
      </c>
      <c r="AU72" s="7">
        <f t="shared" si="37"/>
        <v>1</v>
      </c>
      <c r="AV72" s="7" t="str">
        <f t="shared" si="37"/>
        <v/>
      </c>
      <c r="AW72" s="7">
        <f t="shared" si="37"/>
        <v>1</v>
      </c>
      <c r="AX72" s="7">
        <f t="shared" si="37"/>
        <v>0</v>
      </c>
      <c r="AY72" s="7">
        <f t="shared" si="37"/>
        <v>0</v>
      </c>
      <c r="AZ72" s="7">
        <f t="shared" si="37"/>
        <v>0</v>
      </c>
      <c r="BA72" s="10"/>
      <c r="BB72" s="10"/>
      <c r="BC72" s="16"/>
      <c r="BD72" s="64" t="str">
        <f>IF(BB76=BG76,"=","!=")</f>
        <v>!=</v>
      </c>
      <c r="BE72" s="14"/>
      <c r="BF72" s="16"/>
      <c r="BG72" s="10"/>
      <c r="BH72" s="16"/>
      <c r="BI72" s="47"/>
      <c r="BJ72" s="70"/>
      <c r="BK72" s="71"/>
      <c r="BL72" s="72"/>
      <c r="BM72" s="51"/>
    </row>
    <row r="73" spans="31:65" x14ac:dyDescent="0.2">
      <c r="AE73" s="49"/>
      <c r="AF73" s="5"/>
      <c r="AG73" s="23" t="s">
        <v>67</v>
      </c>
      <c r="AH73" s="12">
        <f>I13</f>
        <v>1</v>
      </c>
      <c r="AI73" s="12">
        <f t="shared" ref="AI73:AZ73" si="38">J13</f>
        <v>1</v>
      </c>
      <c r="AJ73" s="12">
        <f t="shared" si="38"/>
        <v>0</v>
      </c>
      <c r="AK73" s="12">
        <f t="shared" si="38"/>
        <v>0</v>
      </c>
      <c r="AL73" s="12" t="str">
        <f t="shared" si="38"/>
        <v>.</v>
      </c>
      <c r="AM73" s="12">
        <f t="shared" si="38"/>
        <v>0</v>
      </c>
      <c r="AN73" s="12">
        <f t="shared" si="38"/>
        <v>0</v>
      </c>
      <c r="AO73" s="12">
        <f t="shared" si="38"/>
        <v>1</v>
      </c>
      <c r="AP73" s="12">
        <f t="shared" si="38"/>
        <v>1</v>
      </c>
      <c r="AQ73" s="12" t="str">
        <f t="shared" si="38"/>
        <v>.</v>
      </c>
      <c r="AR73" s="12">
        <f t="shared" si="38"/>
        <v>0</v>
      </c>
      <c r="AS73" s="12">
        <f t="shared" si="38"/>
        <v>0</v>
      </c>
      <c r="AT73" s="12">
        <f t="shared" si="38"/>
        <v>1</v>
      </c>
      <c r="AU73" s="12">
        <f t="shared" si="38"/>
        <v>1</v>
      </c>
      <c r="AV73" s="12" t="str">
        <f t="shared" si="38"/>
        <v>.</v>
      </c>
      <c r="AW73" s="12">
        <f t="shared" si="38"/>
        <v>1</v>
      </c>
      <c r="AX73" s="12">
        <f t="shared" si="38"/>
        <v>1</v>
      </c>
      <c r="AY73" s="12">
        <f t="shared" si="38"/>
        <v>1</v>
      </c>
      <c r="AZ73" s="12">
        <f t="shared" si="38"/>
        <v>1</v>
      </c>
      <c r="BA73" s="6"/>
      <c r="BB73" s="6"/>
      <c r="BC73" s="17"/>
      <c r="BD73" s="64"/>
      <c r="BE73" s="5"/>
      <c r="BF73" s="25" t="s">
        <v>68</v>
      </c>
      <c r="BG73" s="12">
        <f>E13</f>
        <v>-15553</v>
      </c>
      <c r="BH73" s="17"/>
      <c r="BI73" s="47"/>
      <c r="BJ73" s="70"/>
      <c r="BK73" s="71"/>
      <c r="BL73" s="72"/>
      <c r="BM73" s="51"/>
    </row>
    <row r="74" spans="31:65" x14ac:dyDescent="0.2">
      <c r="AE74" s="49"/>
      <c r="AF74" s="15" t="s">
        <v>46</v>
      </c>
      <c r="AG74" s="23" t="s">
        <v>69</v>
      </c>
      <c r="AH74" s="12">
        <f>I14</f>
        <v>1</v>
      </c>
      <c r="AI74" s="12">
        <f t="shared" ref="AI74:AZ74" si="39">J14</f>
        <v>0</v>
      </c>
      <c r="AJ74" s="12">
        <f t="shared" si="39"/>
        <v>1</v>
      </c>
      <c r="AK74" s="12">
        <f t="shared" si="39"/>
        <v>0</v>
      </c>
      <c r="AL74" s="12" t="str">
        <f t="shared" si="39"/>
        <v>.</v>
      </c>
      <c r="AM74" s="12">
        <f t="shared" si="39"/>
        <v>1</v>
      </c>
      <c r="AN74" s="12">
        <f t="shared" si="39"/>
        <v>1</v>
      </c>
      <c r="AO74" s="12">
        <f t="shared" si="39"/>
        <v>0</v>
      </c>
      <c r="AP74" s="12">
        <f t="shared" si="39"/>
        <v>0</v>
      </c>
      <c r="AQ74" s="12" t="str">
        <f t="shared" si="39"/>
        <v>.</v>
      </c>
      <c r="AR74" s="12">
        <f t="shared" si="39"/>
        <v>1</v>
      </c>
      <c r="AS74" s="12">
        <f t="shared" si="39"/>
        <v>0</v>
      </c>
      <c r="AT74" s="12">
        <f t="shared" si="39"/>
        <v>0</v>
      </c>
      <c r="AU74" s="12">
        <f t="shared" si="39"/>
        <v>0</v>
      </c>
      <c r="AV74" s="12" t="str">
        <f t="shared" si="39"/>
        <v>.</v>
      </c>
      <c r="AW74" s="12">
        <f t="shared" si="39"/>
        <v>1</v>
      </c>
      <c r="AX74" s="12">
        <f t="shared" si="39"/>
        <v>1</v>
      </c>
      <c r="AY74" s="12">
        <f t="shared" si="39"/>
        <v>0</v>
      </c>
      <c r="AZ74" s="12">
        <f t="shared" si="39"/>
        <v>0</v>
      </c>
      <c r="BA74" s="6"/>
      <c r="BB74" s="6"/>
      <c r="BC74" s="17"/>
      <c r="BD74" s="64"/>
      <c r="BE74" s="15" t="s">
        <v>46</v>
      </c>
      <c r="BF74" s="25" t="s">
        <v>70</v>
      </c>
      <c r="BG74" s="12">
        <f>E14</f>
        <v>-21364</v>
      </c>
      <c r="BH74" s="17"/>
      <c r="BI74" s="47"/>
      <c r="BJ74" s="70"/>
      <c r="BK74" s="71"/>
      <c r="BL74" s="72"/>
      <c r="BM74" s="51"/>
    </row>
    <row r="75" spans="31:65" x14ac:dyDescent="0.2">
      <c r="AE75" s="49"/>
      <c r="AF75" s="5"/>
      <c r="AG75" s="63" t="s">
        <v>61</v>
      </c>
      <c r="AH75" s="63"/>
      <c r="AI75" s="63"/>
      <c r="AJ75" s="63"/>
      <c r="AK75" s="63"/>
      <c r="AL75" s="63"/>
      <c r="AM75" s="63"/>
      <c r="AN75" s="63"/>
      <c r="AO75" s="63"/>
      <c r="AP75" s="63"/>
      <c r="AQ75" s="63"/>
      <c r="AR75" s="63"/>
      <c r="AS75" s="63"/>
      <c r="AT75" s="63"/>
      <c r="AU75" s="63"/>
      <c r="AV75" s="63"/>
      <c r="AW75" s="63"/>
      <c r="AX75" s="63"/>
      <c r="AY75" s="63"/>
      <c r="AZ75" s="63"/>
      <c r="BA75" s="6"/>
      <c r="BB75" s="6"/>
      <c r="BC75" s="17"/>
      <c r="BD75" s="64"/>
      <c r="BE75" s="15"/>
      <c r="BF75" s="63" t="s">
        <v>60</v>
      </c>
      <c r="BG75" s="63"/>
      <c r="BH75" s="17"/>
      <c r="BI75" s="47"/>
      <c r="BJ75" s="70"/>
      <c r="BK75" s="71"/>
      <c r="BL75" s="72"/>
      <c r="BM75" s="51"/>
    </row>
    <row r="76" spans="31:65" x14ac:dyDescent="0.2">
      <c r="AE76" s="49"/>
      <c r="AF76" s="18"/>
      <c r="AG76" s="24"/>
      <c r="AH76" s="20">
        <f t="shared" ref="AH76:AZ76" si="40">IF(AH73=".",".",IF(MOD(AH73+AH74+AH72,2)&lt;&gt;0,1,0))</f>
        <v>0</v>
      </c>
      <c r="AI76" s="20">
        <f t="shared" si="40"/>
        <v>1</v>
      </c>
      <c r="AJ76" s="20">
        <f t="shared" si="40"/>
        <v>1</v>
      </c>
      <c r="AK76" s="20">
        <f t="shared" si="40"/>
        <v>0</v>
      </c>
      <c r="AL76" s="20" t="str">
        <f t="shared" si="40"/>
        <v>.</v>
      </c>
      <c r="AM76" s="20">
        <f t="shared" si="40"/>
        <v>1</v>
      </c>
      <c r="AN76" s="20">
        <f t="shared" si="40"/>
        <v>1</v>
      </c>
      <c r="AO76" s="20">
        <f t="shared" si="40"/>
        <v>1</v>
      </c>
      <c r="AP76" s="20">
        <f t="shared" si="40"/>
        <v>1</v>
      </c>
      <c r="AQ76" s="20" t="str">
        <f t="shared" si="40"/>
        <v>.</v>
      </c>
      <c r="AR76" s="20">
        <f t="shared" si="40"/>
        <v>1</v>
      </c>
      <c r="AS76" s="20">
        <f t="shared" si="40"/>
        <v>1</v>
      </c>
      <c r="AT76" s="20">
        <f t="shared" si="40"/>
        <v>0</v>
      </c>
      <c r="AU76" s="20">
        <f t="shared" si="40"/>
        <v>0</v>
      </c>
      <c r="AV76" s="20" t="str">
        <f t="shared" si="40"/>
        <v>.</v>
      </c>
      <c r="AW76" s="20">
        <f t="shared" si="40"/>
        <v>1</v>
      </c>
      <c r="AX76" s="20">
        <f t="shared" si="40"/>
        <v>0</v>
      </c>
      <c r="AY76" s="20">
        <f t="shared" si="40"/>
        <v>1</v>
      </c>
      <c r="AZ76" s="20">
        <f t="shared" si="40"/>
        <v>1</v>
      </c>
      <c r="BA76" s="21" t="s">
        <v>49</v>
      </c>
      <c r="BB76" s="19">
        <f>IF(AH76=0,
     AI76*2^14+AJ76*2^13+AK76*2^12+AM76*2^11+AN76*2^10+AO76*2^9+AP76*2^8+AR76*2^7+AS76*2^6+AT76*2^5+ AU76*2^4+AW76*2^3+AX76*2^2+AY76*2^1+AZ76,
     -((1-AI76)*2^14 +(1-AJ76)*2^13+(1-AK76)*2^12+(1-AM76)*2^11+(1-AN76)*2^10+(1-AO76)*2^9+(1-AP76)*2^8+(1-AR76)*2^7+(1-AS76)*2^6+(1-AT76)*2^5+(1-AU76)*2^4+(1-AW76)*2^3+(1-AX76)*2^2+(1-AY76)*2^1+(1-AZ76) + 1)
)</f>
        <v>28619</v>
      </c>
      <c r="BC76" s="22" t="s">
        <v>50</v>
      </c>
      <c r="BD76" s="64"/>
      <c r="BE76" s="18"/>
      <c r="BF76" s="24"/>
      <c r="BG76" s="19">
        <f>BG73+BG74</f>
        <v>-36917</v>
      </c>
      <c r="BH76" s="22" t="s">
        <v>50</v>
      </c>
      <c r="BI76" s="47"/>
      <c r="BJ76" s="70"/>
      <c r="BK76" s="71"/>
      <c r="BL76" s="72"/>
      <c r="BM76" s="51"/>
    </row>
    <row r="77" spans="31:65" x14ac:dyDescent="0.2">
      <c r="AE77" s="45"/>
      <c r="AF77" s="44"/>
      <c r="AG77" s="47"/>
      <c r="AH77" s="47"/>
      <c r="AI77" s="47"/>
      <c r="AJ77" s="47"/>
      <c r="AK77" s="47"/>
      <c r="AL77" s="47"/>
      <c r="AM77" s="47"/>
      <c r="AN77" s="47"/>
      <c r="AO77" s="47"/>
      <c r="AP77" s="47"/>
      <c r="AQ77" s="47"/>
      <c r="AR77" s="47"/>
      <c r="AS77" s="47"/>
      <c r="AT77" s="47"/>
      <c r="AU77" s="47"/>
      <c r="AV77" s="47"/>
      <c r="AW77" s="47"/>
      <c r="AX77" s="47"/>
      <c r="AY77" s="47"/>
      <c r="AZ77" s="47"/>
      <c r="BA77" s="47"/>
      <c r="BB77" s="47"/>
      <c r="BC77" s="47"/>
      <c r="BD77" s="47"/>
      <c r="BE77" s="47"/>
      <c r="BF77" s="47"/>
      <c r="BG77" s="47"/>
      <c r="BH77" s="47"/>
      <c r="BI77" s="47"/>
      <c r="BJ77" s="73"/>
      <c r="BK77" s="74"/>
      <c r="BL77" s="75"/>
      <c r="BM77" s="51"/>
    </row>
    <row r="78" spans="31:65" x14ac:dyDescent="0.2">
      <c r="AE78" s="45"/>
      <c r="AF78" s="47"/>
      <c r="AG78" s="47"/>
      <c r="AH78" s="51"/>
      <c r="AI78" s="10"/>
      <c r="AJ78" s="10"/>
      <c r="AK78" s="16"/>
      <c r="AL78" s="10"/>
      <c r="AM78" s="10"/>
      <c r="AN78" s="16"/>
      <c r="AO78" s="10"/>
      <c r="AP78" s="10"/>
      <c r="AQ78" s="16"/>
      <c r="AR78" s="47"/>
      <c r="AS78" s="47"/>
      <c r="AT78" s="47"/>
      <c r="AU78" s="47"/>
      <c r="AV78" s="47"/>
      <c r="AW78" s="47"/>
      <c r="AX78" s="47"/>
      <c r="AY78" s="47"/>
      <c r="AZ78" s="47"/>
      <c r="BA78" s="47"/>
      <c r="BB78" s="47"/>
      <c r="BC78" s="47"/>
      <c r="BD78" s="47"/>
      <c r="BE78" s="47"/>
      <c r="BF78" s="47"/>
      <c r="BG78" s="47"/>
      <c r="BH78" s="47"/>
      <c r="BI78" s="47"/>
      <c r="BJ78" s="47"/>
      <c r="BK78" s="47"/>
      <c r="BL78" s="47"/>
      <c r="BM78" s="51"/>
    </row>
    <row r="79" spans="31:65" x14ac:dyDescent="0.2">
      <c r="AE79" s="45"/>
      <c r="AF79" s="47"/>
      <c r="AG79" s="47"/>
      <c r="AH79" s="51"/>
      <c r="AI79" s="12" t="s">
        <v>51</v>
      </c>
      <c r="AJ79" s="12" t="s">
        <v>52</v>
      </c>
      <c r="AK79" s="25">
        <f>IF(AH72+AH73+AH74&gt;1,1,0)</f>
        <v>1</v>
      </c>
      <c r="AL79" s="12" t="s">
        <v>53</v>
      </c>
      <c r="AM79" s="12" t="s">
        <v>52</v>
      </c>
      <c r="AN79" s="25">
        <f>IF(MOD(AW76+AX76+AY76+AZ76,2)=0,1,0)</f>
        <v>0</v>
      </c>
      <c r="AO79" s="12" t="s">
        <v>54</v>
      </c>
      <c r="AP79" s="12" t="s">
        <v>52</v>
      </c>
      <c r="AQ79" s="25">
        <f>AU72</f>
        <v>1</v>
      </c>
      <c r="AR79" s="47"/>
      <c r="AS79" s="53"/>
      <c r="AT79" s="47"/>
      <c r="AU79" s="47"/>
      <c r="AV79" s="47"/>
      <c r="AW79" s="47"/>
      <c r="AX79" s="47"/>
      <c r="AY79" s="47"/>
      <c r="AZ79" s="47"/>
      <c r="BA79" s="47"/>
      <c r="BB79" s="47"/>
      <c r="BC79" s="47"/>
      <c r="BD79" s="47"/>
      <c r="BE79" s="47"/>
      <c r="BF79" s="47"/>
      <c r="BG79" s="47"/>
      <c r="BH79" s="47"/>
      <c r="BI79" s="47"/>
      <c r="BJ79" s="47"/>
      <c r="BK79" s="47"/>
      <c r="BL79" s="47"/>
      <c r="BM79" s="51"/>
    </row>
    <row r="80" spans="31:65" x14ac:dyDescent="0.2">
      <c r="AE80" s="45"/>
      <c r="AF80" s="47"/>
      <c r="AG80" s="47"/>
      <c r="AH80" s="51"/>
      <c r="AI80" s="20"/>
      <c r="AJ80" s="20"/>
      <c r="AK80" s="42"/>
      <c r="AL80" s="20"/>
      <c r="AM80" s="20"/>
      <c r="AN80" s="42"/>
      <c r="AO80" s="20"/>
      <c r="AP80" s="20"/>
      <c r="AQ80" s="17"/>
      <c r="AR80" s="47"/>
      <c r="AS80" s="53"/>
      <c r="AT80" s="47"/>
      <c r="AU80" s="47"/>
      <c r="AV80" s="47"/>
      <c r="AW80" s="47"/>
      <c r="AX80" s="47"/>
      <c r="AY80" s="47"/>
      <c r="AZ80" s="47"/>
      <c r="BA80" s="47"/>
      <c r="BB80" s="47"/>
      <c r="BC80" s="47"/>
      <c r="BD80" s="47"/>
      <c r="BE80" s="47"/>
      <c r="BF80" s="47"/>
      <c r="BG80" s="47"/>
      <c r="BH80" s="47"/>
      <c r="BI80" s="47"/>
      <c r="BJ80" s="47"/>
      <c r="BK80" s="47"/>
      <c r="BL80" s="47"/>
      <c r="BM80" s="51"/>
    </row>
    <row r="81" spans="31:65" x14ac:dyDescent="0.2">
      <c r="AE81" s="45"/>
      <c r="AF81" s="47"/>
      <c r="AG81" s="47"/>
      <c r="AH81" s="51"/>
      <c r="AI81" s="10"/>
      <c r="AJ81" s="6"/>
      <c r="AK81" s="6"/>
      <c r="AL81" s="14"/>
      <c r="AM81" s="6"/>
      <c r="AN81" s="6"/>
      <c r="AO81" s="14"/>
      <c r="AP81" s="6"/>
      <c r="AQ81" s="16"/>
      <c r="AR81" s="47"/>
      <c r="AS81" s="47"/>
      <c r="AT81" s="47"/>
      <c r="AU81" s="47"/>
      <c r="AV81" s="47"/>
      <c r="AW81" s="47"/>
      <c r="AX81" s="47"/>
      <c r="AY81" s="47"/>
      <c r="AZ81" s="47"/>
      <c r="BA81" s="47"/>
      <c r="BB81" s="47"/>
      <c r="BC81" s="47"/>
      <c r="BD81" s="47"/>
      <c r="BE81" s="47"/>
      <c r="BF81" s="47"/>
      <c r="BG81" s="47"/>
      <c r="BH81" s="47"/>
      <c r="BI81" s="47"/>
      <c r="BJ81" s="47"/>
      <c r="BK81" s="47"/>
      <c r="BL81" s="47"/>
      <c r="BM81" s="51"/>
    </row>
    <row r="82" spans="31:65" x14ac:dyDescent="0.2">
      <c r="AE82" s="45"/>
      <c r="AF82" s="47"/>
      <c r="AG82" s="47"/>
      <c r="AH82" s="51"/>
      <c r="AI82" s="12" t="s">
        <v>55</v>
      </c>
      <c r="AJ82" s="12" t="s">
        <v>52</v>
      </c>
      <c r="AK82" s="25">
        <f>IF(BB76=0,1,0)</f>
        <v>0</v>
      </c>
      <c r="AL82" s="12" t="s">
        <v>56</v>
      </c>
      <c r="AM82" s="12" t="s">
        <v>52</v>
      </c>
      <c r="AN82" s="25">
        <f>AH76</f>
        <v>0</v>
      </c>
      <c r="AO82" s="12" t="s">
        <v>57</v>
      </c>
      <c r="AP82" s="12" t="s">
        <v>52</v>
      </c>
      <c r="AQ82" s="25">
        <f>IF(AND(AH73=AH74,AH73&lt;&gt;AH76),1,0)</f>
        <v>1</v>
      </c>
      <c r="AR82" s="47"/>
      <c r="AS82" s="53"/>
      <c r="AT82" s="47"/>
      <c r="AU82" s="47"/>
      <c r="AV82" s="47"/>
      <c r="AW82" s="47"/>
      <c r="AX82" s="47"/>
      <c r="AY82" s="47"/>
      <c r="AZ82" s="47"/>
      <c r="BA82" s="47"/>
      <c r="BB82" s="47"/>
      <c r="BC82" s="47"/>
      <c r="BD82" s="47"/>
      <c r="BE82" s="47"/>
      <c r="BF82" s="47"/>
      <c r="BG82" s="47"/>
      <c r="BH82" s="47"/>
      <c r="BI82" s="47"/>
      <c r="BJ82" s="47"/>
      <c r="BK82" s="47"/>
      <c r="BL82" s="47"/>
      <c r="BM82" s="51"/>
    </row>
    <row r="83" spans="31:65" x14ac:dyDescent="0.2">
      <c r="AE83" s="45"/>
      <c r="AF83" s="47"/>
      <c r="AG83" s="47"/>
      <c r="AH83" s="51"/>
      <c r="AI83" s="18"/>
      <c r="AJ83" s="19"/>
      <c r="AK83" s="24"/>
      <c r="AL83" s="19"/>
      <c r="AM83" s="19"/>
      <c r="AN83" s="24"/>
      <c r="AO83" s="19"/>
      <c r="AP83" s="19"/>
      <c r="AQ83" s="24"/>
      <c r="AR83" s="47"/>
      <c r="AS83" s="47"/>
      <c r="AT83" s="47"/>
      <c r="AU83" s="47"/>
      <c r="AV83" s="47"/>
      <c r="AW83" s="47"/>
      <c r="AX83" s="47"/>
      <c r="AY83" s="47"/>
      <c r="AZ83" s="47"/>
      <c r="BA83" s="47"/>
      <c r="BB83" s="47"/>
      <c r="BC83" s="47"/>
      <c r="BD83" s="47"/>
      <c r="BE83" s="47"/>
      <c r="BF83" s="47"/>
      <c r="BG83" s="47"/>
      <c r="BH83" s="47"/>
      <c r="BI83" s="47"/>
      <c r="BJ83" s="47"/>
      <c r="BK83" s="47"/>
      <c r="BL83" s="47"/>
      <c r="BM83" s="51"/>
    </row>
    <row r="84" spans="31:65" x14ac:dyDescent="0.2">
      <c r="AE84" s="50"/>
      <c r="AF84" s="46"/>
      <c r="AG84" s="46"/>
      <c r="AH84" s="46"/>
      <c r="AI84" s="46"/>
      <c r="AJ84" s="46"/>
      <c r="AK84" s="46"/>
      <c r="AL84" s="46"/>
      <c r="AM84" s="46"/>
      <c r="AN84" s="46"/>
      <c r="AO84" s="46"/>
      <c r="AP84" s="46"/>
      <c r="AQ84" s="46"/>
      <c r="AR84" s="46"/>
      <c r="AS84" s="46"/>
      <c r="AT84" s="46"/>
      <c r="AU84" s="46"/>
      <c r="AV84" s="46"/>
      <c r="AW84" s="46"/>
      <c r="AX84" s="46"/>
      <c r="AY84" s="46"/>
      <c r="AZ84" s="46"/>
      <c r="BA84" s="46"/>
      <c r="BB84" s="46"/>
      <c r="BC84" s="46"/>
      <c r="BD84" s="46"/>
      <c r="BE84" s="46"/>
      <c r="BF84" s="46"/>
      <c r="BG84" s="46"/>
      <c r="BH84" s="46"/>
      <c r="BI84" s="46"/>
      <c r="BJ84" s="46"/>
      <c r="BK84" s="46"/>
      <c r="BL84" s="46"/>
      <c r="BM84" s="52"/>
    </row>
    <row r="87" spans="31:65" x14ac:dyDescent="0.2">
      <c r="AE87" s="43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44"/>
      <c r="BJ87" s="44"/>
      <c r="BK87" s="44"/>
      <c r="BL87" s="44"/>
      <c r="BM87" s="48"/>
    </row>
    <row r="88" spans="31:65" x14ac:dyDescent="0.2">
      <c r="AE88" s="45"/>
      <c r="AF88" s="46"/>
      <c r="AG88" s="47"/>
      <c r="AH88" s="47"/>
      <c r="AI88" s="47"/>
      <c r="AJ88" s="47"/>
      <c r="AK88" s="47"/>
      <c r="AL88" s="47"/>
      <c r="AM88" s="47"/>
      <c r="AN88" s="47"/>
      <c r="AO88" s="47"/>
      <c r="AP88" s="47"/>
      <c r="AQ88" s="47"/>
      <c r="AR88" s="47"/>
      <c r="AS88" s="47"/>
      <c r="AT88" s="47"/>
      <c r="AU88" s="47"/>
      <c r="AV88" s="47"/>
      <c r="AW88" s="47"/>
      <c r="AX88" s="47"/>
      <c r="AY88" s="47"/>
      <c r="AZ88" s="47"/>
      <c r="BA88" s="47"/>
      <c r="BB88" s="47"/>
      <c r="BC88" s="47"/>
      <c r="BD88" s="47"/>
      <c r="BE88" s="47"/>
      <c r="BF88" s="47"/>
      <c r="BG88" s="47"/>
      <c r="BH88" s="47"/>
      <c r="BI88" s="47"/>
      <c r="BJ88" s="67" t="str">
        <f>"При сложении "&amp;
IF(AND(AH90=0,AH91=0),"двух положительных слагаемых",IF(AND(AH90=1,AH91=1),"двух отрицательных слагаемых","положительного и отрицательного слагаемого"))&amp;
" получено "&amp;
IF(AH93=0,"положительное число. ","отрицательное число. ")&amp;
IF(BD89="=","Результат выполнения операции верный и корректный, совпадает с суммой десятичных эквивалентов.","Результат выполнения операции не совпадает с суммой десяитчных эквивалентов, так как произошло переполнение.")</f>
        <v>При сложении положительного и отрицательного слагаемого получено отрицательное число. Результат выполнения операции верный и корректный, совпадает с суммой десятичных эквивалентов.</v>
      </c>
      <c r="BK88" s="68"/>
      <c r="BL88" s="69"/>
      <c r="BM88" s="51"/>
    </row>
    <row r="89" spans="31:65" x14ac:dyDescent="0.2">
      <c r="AE89" s="49"/>
      <c r="AF89" s="14"/>
      <c r="AG89" s="16"/>
      <c r="AH89" s="7">
        <f t="shared" ref="AH89:AZ89" si="41">IF(AH90=".","",IF(AI90=".",IF(AJ90+AJ91+AJ89&gt;=2,1,0),IF(AI90+AI91+AI89&gt;=2,1,0)))</f>
        <v>0</v>
      </c>
      <c r="AI89" s="7">
        <f t="shared" si="41"/>
        <v>0</v>
      </c>
      <c r="AJ89" s="7">
        <f t="shared" si="41"/>
        <v>0</v>
      </c>
      <c r="AK89" s="7">
        <f t="shared" si="41"/>
        <v>0</v>
      </c>
      <c r="AL89" s="7" t="str">
        <f t="shared" si="41"/>
        <v/>
      </c>
      <c r="AM89" s="7">
        <f t="shared" si="41"/>
        <v>1</v>
      </c>
      <c r="AN89" s="7">
        <f t="shared" si="41"/>
        <v>1</v>
      </c>
      <c r="AO89" s="7">
        <f t="shared" si="41"/>
        <v>0</v>
      </c>
      <c r="AP89" s="7">
        <f t="shared" si="41"/>
        <v>0</v>
      </c>
      <c r="AQ89" s="7" t="str">
        <f t="shared" si="41"/>
        <v/>
      </c>
      <c r="AR89" s="7">
        <f t="shared" si="41"/>
        <v>0</v>
      </c>
      <c r="AS89" s="7">
        <f t="shared" si="41"/>
        <v>1</v>
      </c>
      <c r="AT89" s="7">
        <f t="shared" si="41"/>
        <v>1</v>
      </c>
      <c r="AU89" s="7">
        <f t="shared" si="41"/>
        <v>1</v>
      </c>
      <c r="AV89" s="7" t="str">
        <f t="shared" si="41"/>
        <v/>
      </c>
      <c r="AW89" s="7">
        <f t="shared" si="41"/>
        <v>1</v>
      </c>
      <c r="AX89" s="7">
        <f t="shared" si="41"/>
        <v>1</v>
      </c>
      <c r="AY89" s="7">
        <f t="shared" si="41"/>
        <v>1</v>
      </c>
      <c r="AZ89" s="7">
        <f t="shared" si="41"/>
        <v>0</v>
      </c>
      <c r="BA89" s="10"/>
      <c r="BB89" s="10"/>
      <c r="BC89" s="16"/>
      <c r="BD89" s="64" t="str">
        <f>IF(BB93=BG93,"=","!=")</f>
        <v>=</v>
      </c>
      <c r="BE89" s="14"/>
      <c r="BF89" s="16"/>
      <c r="BG89" s="10"/>
      <c r="BH89" s="16"/>
      <c r="BI89" s="47"/>
      <c r="BJ89" s="70"/>
      <c r="BK89" s="71"/>
      <c r="BL89" s="72"/>
      <c r="BM89" s="51"/>
    </row>
    <row r="90" spans="31:65" x14ac:dyDescent="0.2">
      <c r="AE90" s="49"/>
      <c r="AF90" s="5"/>
      <c r="AG90" s="23" t="s">
        <v>47</v>
      </c>
      <c r="AH90" s="12">
        <f>I6</f>
        <v>0</v>
      </c>
      <c r="AI90" s="12">
        <f t="shared" ref="AI90:AZ90" si="42">J6</f>
        <v>0</v>
      </c>
      <c r="AJ90" s="12">
        <f t="shared" si="42"/>
        <v>0</v>
      </c>
      <c r="AK90" s="12">
        <f t="shared" si="42"/>
        <v>1</v>
      </c>
      <c r="AL90" s="12" t="str">
        <f t="shared" si="42"/>
        <v>.</v>
      </c>
      <c r="AM90" s="12">
        <f t="shared" si="42"/>
        <v>0</v>
      </c>
      <c r="AN90" s="12">
        <f t="shared" si="42"/>
        <v>1</v>
      </c>
      <c r="AO90" s="12">
        <f t="shared" si="42"/>
        <v>1</v>
      </c>
      <c r="AP90" s="12">
        <f t="shared" si="42"/>
        <v>0</v>
      </c>
      <c r="AQ90" s="12" t="str">
        <f t="shared" si="42"/>
        <v>.</v>
      </c>
      <c r="AR90" s="12">
        <f t="shared" si="42"/>
        <v>1</v>
      </c>
      <c r="AS90" s="12">
        <f t="shared" si="42"/>
        <v>0</v>
      </c>
      <c r="AT90" s="12">
        <f t="shared" si="42"/>
        <v>1</v>
      </c>
      <c r="AU90" s="12">
        <f t="shared" si="42"/>
        <v>1</v>
      </c>
      <c r="AV90" s="12" t="str">
        <f t="shared" si="42"/>
        <v>.</v>
      </c>
      <c r="AW90" s="12">
        <f t="shared" si="42"/>
        <v>0</v>
      </c>
      <c r="AX90" s="12">
        <f t="shared" si="42"/>
        <v>0</v>
      </c>
      <c r="AY90" s="12">
        <f t="shared" si="42"/>
        <v>1</v>
      </c>
      <c r="AZ90" s="12">
        <f t="shared" si="42"/>
        <v>1</v>
      </c>
      <c r="BA90" s="6"/>
      <c r="BB90" s="6"/>
      <c r="BC90" s="17"/>
      <c r="BD90" s="64"/>
      <c r="BE90" s="5"/>
      <c r="BF90" s="25" t="s">
        <v>58</v>
      </c>
      <c r="BG90" s="12">
        <f>E6</f>
        <v>5811</v>
      </c>
      <c r="BH90" s="17"/>
      <c r="BI90" s="47"/>
      <c r="BJ90" s="70"/>
      <c r="BK90" s="71"/>
      <c r="BL90" s="72"/>
      <c r="BM90" s="51"/>
    </row>
    <row r="91" spans="31:65" x14ac:dyDescent="0.2">
      <c r="AE91" s="49"/>
      <c r="AF91" s="15" t="s">
        <v>46</v>
      </c>
      <c r="AG91" s="23" t="s">
        <v>67</v>
      </c>
      <c r="AH91" s="12">
        <f>I13</f>
        <v>1</v>
      </c>
      <c r="AI91" s="12">
        <f t="shared" ref="AI91:AZ91" si="43">J13</f>
        <v>1</v>
      </c>
      <c r="AJ91" s="12">
        <f t="shared" si="43"/>
        <v>0</v>
      </c>
      <c r="AK91" s="12">
        <f t="shared" si="43"/>
        <v>0</v>
      </c>
      <c r="AL91" s="12" t="str">
        <f t="shared" si="43"/>
        <v>.</v>
      </c>
      <c r="AM91" s="12">
        <f t="shared" si="43"/>
        <v>0</v>
      </c>
      <c r="AN91" s="12">
        <f t="shared" si="43"/>
        <v>0</v>
      </c>
      <c r="AO91" s="12">
        <f t="shared" si="43"/>
        <v>1</v>
      </c>
      <c r="AP91" s="12">
        <f t="shared" si="43"/>
        <v>1</v>
      </c>
      <c r="AQ91" s="12" t="str">
        <f t="shared" si="43"/>
        <v>.</v>
      </c>
      <c r="AR91" s="12">
        <f t="shared" si="43"/>
        <v>0</v>
      </c>
      <c r="AS91" s="12">
        <f t="shared" si="43"/>
        <v>0</v>
      </c>
      <c r="AT91" s="12">
        <f t="shared" si="43"/>
        <v>1</v>
      </c>
      <c r="AU91" s="12">
        <f t="shared" si="43"/>
        <v>1</v>
      </c>
      <c r="AV91" s="12" t="str">
        <f t="shared" si="43"/>
        <v>.</v>
      </c>
      <c r="AW91" s="12">
        <f t="shared" si="43"/>
        <v>1</v>
      </c>
      <c r="AX91" s="12">
        <f t="shared" si="43"/>
        <v>1</v>
      </c>
      <c r="AY91" s="12">
        <f t="shared" si="43"/>
        <v>1</v>
      </c>
      <c r="AZ91" s="12">
        <f t="shared" si="43"/>
        <v>1</v>
      </c>
      <c r="BA91" s="6"/>
      <c r="BB91" s="6"/>
      <c r="BC91" s="17"/>
      <c r="BD91" s="64"/>
      <c r="BE91" s="15" t="s">
        <v>46</v>
      </c>
      <c r="BF91" s="25" t="s">
        <v>68</v>
      </c>
      <c r="BG91" s="12">
        <f>E13</f>
        <v>-15553</v>
      </c>
      <c r="BH91" s="17"/>
      <c r="BI91" s="47"/>
      <c r="BJ91" s="70"/>
      <c r="BK91" s="71"/>
      <c r="BL91" s="72"/>
      <c r="BM91" s="51"/>
    </row>
    <row r="92" spans="31:65" x14ac:dyDescent="0.2">
      <c r="AE92" s="49"/>
      <c r="AF92" s="5"/>
      <c r="AG92" s="63" t="s">
        <v>61</v>
      </c>
      <c r="AH92" s="63"/>
      <c r="AI92" s="63"/>
      <c r="AJ92" s="63"/>
      <c r="AK92" s="63"/>
      <c r="AL92" s="63"/>
      <c r="AM92" s="63"/>
      <c r="AN92" s="63"/>
      <c r="AO92" s="63"/>
      <c r="AP92" s="63"/>
      <c r="AQ92" s="63"/>
      <c r="AR92" s="63"/>
      <c r="AS92" s="63"/>
      <c r="AT92" s="63"/>
      <c r="AU92" s="63"/>
      <c r="AV92" s="63"/>
      <c r="AW92" s="63"/>
      <c r="AX92" s="63"/>
      <c r="AY92" s="63"/>
      <c r="AZ92" s="63"/>
      <c r="BA92" s="6"/>
      <c r="BB92" s="6"/>
      <c r="BC92" s="17"/>
      <c r="BD92" s="64"/>
      <c r="BE92" s="15"/>
      <c r="BF92" s="63" t="s">
        <v>60</v>
      </c>
      <c r="BG92" s="63"/>
      <c r="BH92" s="17"/>
      <c r="BI92" s="47"/>
      <c r="BJ92" s="70"/>
      <c r="BK92" s="71"/>
      <c r="BL92" s="72"/>
      <c r="BM92" s="51"/>
    </row>
    <row r="93" spans="31:65" x14ac:dyDescent="0.2">
      <c r="AE93" s="49"/>
      <c r="AF93" s="18"/>
      <c r="AG93" s="24"/>
      <c r="AH93" s="20">
        <f t="shared" ref="AH93:AZ93" si="44">IF(AH90=".",".",IF(MOD(AH90+AH91+AH89,2)&lt;&gt;0,1,0))</f>
        <v>1</v>
      </c>
      <c r="AI93" s="20">
        <f t="shared" si="44"/>
        <v>1</v>
      </c>
      <c r="AJ93" s="20">
        <f t="shared" si="44"/>
        <v>0</v>
      </c>
      <c r="AK93" s="20">
        <f t="shared" si="44"/>
        <v>1</v>
      </c>
      <c r="AL93" s="20" t="str">
        <f t="shared" si="44"/>
        <v>.</v>
      </c>
      <c r="AM93" s="20">
        <f t="shared" si="44"/>
        <v>1</v>
      </c>
      <c r="AN93" s="20">
        <f t="shared" si="44"/>
        <v>0</v>
      </c>
      <c r="AO93" s="20">
        <f t="shared" si="44"/>
        <v>0</v>
      </c>
      <c r="AP93" s="20">
        <f t="shared" si="44"/>
        <v>1</v>
      </c>
      <c r="AQ93" s="20" t="str">
        <f t="shared" si="44"/>
        <v>.</v>
      </c>
      <c r="AR93" s="20">
        <f t="shared" si="44"/>
        <v>1</v>
      </c>
      <c r="AS93" s="20">
        <f t="shared" si="44"/>
        <v>1</v>
      </c>
      <c r="AT93" s="20">
        <f t="shared" si="44"/>
        <v>1</v>
      </c>
      <c r="AU93" s="20">
        <f t="shared" si="44"/>
        <v>1</v>
      </c>
      <c r="AV93" s="20" t="str">
        <f t="shared" si="44"/>
        <v>.</v>
      </c>
      <c r="AW93" s="20">
        <f t="shared" si="44"/>
        <v>0</v>
      </c>
      <c r="AX93" s="20">
        <f t="shared" si="44"/>
        <v>0</v>
      </c>
      <c r="AY93" s="20">
        <f t="shared" si="44"/>
        <v>1</v>
      </c>
      <c r="AZ93" s="20">
        <f t="shared" si="44"/>
        <v>0</v>
      </c>
      <c r="BA93" s="21" t="s">
        <v>49</v>
      </c>
      <c r="BB93" s="19">
        <f>IF(AH93=0,
     AI93*2^14+AJ93*2^13+AK93*2^12+AM93*2^11+AN93*2^10+AO93*2^9+AP93*2^8+AR93*2^7+AS93*2^6+AT93*2^5+ AU93*2^4+AW93*2^3+AX93*2^2+AY93*2^1+AZ93,
     -((1-AI93)*2^14 +(1-AJ93)*2^13+(1-AK93)*2^12+(1-AM93)*2^11+(1-AN93)*2^10+(1-AO93)*2^9+(1-AP93)*2^8+(1-AR93)*2^7+(1-AS93)*2^6+(1-AT93)*2^5+(1-AU93)*2^4+(1-AW93)*2^3+(1-AX93)*2^2+(1-AY93)*2^1+(1-AZ93) + 1)
)</f>
        <v>-9742</v>
      </c>
      <c r="BC93" s="22" t="s">
        <v>50</v>
      </c>
      <c r="BD93" s="64"/>
      <c r="BE93" s="18"/>
      <c r="BF93" s="24"/>
      <c r="BG93" s="19">
        <f>BG90+BG91</f>
        <v>-9742</v>
      </c>
      <c r="BH93" s="22" t="s">
        <v>50</v>
      </c>
      <c r="BI93" s="47"/>
      <c r="BJ93" s="70"/>
      <c r="BK93" s="71"/>
      <c r="BL93" s="72"/>
      <c r="BM93" s="51"/>
    </row>
    <row r="94" spans="31:65" x14ac:dyDescent="0.2">
      <c r="AE94" s="45"/>
      <c r="AF94" s="44"/>
      <c r="AG94" s="47"/>
      <c r="AH94" s="47"/>
      <c r="AI94" s="47"/>
      <c r="AJ94" s="47"/>
      <c r="AK94" s="47"/>
      <c r="AL94" s="47"/>
      <c r="AM94" s="47"/>
      <c r="AN94" s="47"/>
      <c r="AO94" s="47"/>
      <c r="AP94" s="47"/>
      <c r="AQ94" s="47"/>
      <c r="AR94" s="47"/>
      <c r="AS94" s="47"/>
      <c r="AT94" s="47"/>
      <c r="AU94" s="47"/>
      <c r="AV94" s="47"/>
      <c r="AW94" s="47"/>
      <c r="AX94" s="47"/>
      <c r="AY94" s="47"/>
      <c r="AZ94" s="47"/>
      <c r="BA94" s="47"/>
      <c r="BB94" s="47"/>
      <c r="BC94" s="47"/>
      <c r="BD94" s="47"/>
      <c r="BE94" s="47"/>
      <c r="BF94" s="47"/>
      <c r="BG94" s="47"/>
      <c r="BH94" s="47"/>
      <c r="BI94" s="47"/>
      <c r="BJ94" s="73"/>
      <c r="BK94" s="74"/>
      <c r="BL94" s="75"/>
      <c r="BM94" s="51"/>
    </row>
    <row r="95" spans="31:65" x14ac:dyDescent="0.2">
      <c r="AE95" s="45"/>
      <c r="AF95" s="47"/>
      <c r="AG95" s="47"/>
      <c r="AH95" s="51"/>
      <c r="AI95" s="10"/>
      <c r="AJ95" s="10"/>
      <c r="AK95" s="16"/>
      <c r="AL95" s="10"/>
      <c r="AM95" s="10"/>
      <c r="AN95" s="16"/>
      <c r="AO95" s="10"/>
      <c r="AP95" s="10"/>
      <c r="AQ95" s="16"/>
      <c r="AR95" s="47"/>
      <c r="AS95" s="47"/>
      <c r="AT95" s="47"/>
      <c r="AU95" s="47"/>
      <c r="AV95" s="47"/>
      <c r="AW95" s="47"/>
      <c r="AX95" s="47"/>
      <c r="AY95" s="47"/>
      <c r="AZ95" s="47"/>
      <c r="BA95" s="47"/>
      <c r="BB95" s="47"/>
      <c r="BC95" s="47"/>
      <c r="BD95" s="47"/>
      <c r="BE95" s="47"/>
      <c r="BF95" s="47"/>
      <c r="BG95" s="47"/>
      <c r="BH95" s="47"/>
      <c r="BI95" s="47"/>
      <c r="BJ95" s="47"/>
      <c r="BK95" s="47"/>
      <c r="BL95" s="47"/>
      <c r="BM95" s="51"/>
    </row>
    <row r="96" spans="31:65" x14ac:dyDescent="0.2">
      <c r="AE96" s="45"/>
      <c r="AF96" s="47"/>
      <c r="AG96" s="47"/>
      <c r="AH96" s="51"/>
      <c r="AI96" s="12" t="s">
        <v>51</v>
      </c>
      <c r="AJ96" s="12" t="s">
        <v>52</v>
      </c>
      <c r="AK96" s="25">
        <f>IF(AH89+AH90+AH91&gt;1,1,0)</f>
        <v>0</v>
      </c>
      <c r="AL96" s="12" t="s">
        <v>53</v>
      </c>
      <c r="AM96" s="12" t="s">
        <v>52</v>
      </c>
      <c r="AN96" s="25">
        <f>IF(MOD(AW93+AX93+AY93+AZ93,2)=0,1,0)</f>
        <v>0</v>
      </c>
      <c r="AO96" s="12" t="s">
        <v>54</v>
      </c>
      <c r="AP96" s="12" t="s">
        <v>52</v>
      </c>
      <c r="AQ96" s="25">
        <f>AU89</f>
        <v>1</v>
      </c>
      <c r="AR96" s="47"/>
      <c r="AS96" s="53"/>
      <c r="AT96" s="47"/>
      <c r="AU96" s="47"/>
      <c r="AV96" s="47"/>
      <c r="AW96" s="47"/>
      <c r="AX96" s="47"/>
      <c r="AY96" s="47"/>
      <c r="AZ96" s="47"/>
      <c r="BA96" s="47"/>
      <c r="BB96" s="47"/>
      <c r="BC96" s="47"/>
      <c r="BD96" s="47"/>
      <c r="BE96" s="47"/>
      <c r="BF96" s="47"/>
      <c r="BG96" s="47"/>
      <c r="BH96" s="47"/>
      <c r="BI96" s="47"/>
      <c r="BJ96" s="47"/>
      <c r="BK96" s="47"/>
      <c r="BL96" s="47"/>
      <c r="BM96" s="51"/>
    </row>
    <row r="97" spans="31:65" x14ac:dyDescent="0.2">
      <c r="AE97" s="45"/>
      <c r="AF97" s="47"/>
      <c r="AG97" s="47"/>
      <c r="AH97" s="51"/>
      <c r="AI97" s="20"/>
      <c r="AJ97" s="20"/>
      <c r="AK97" s="42"/>
      <c r="AL97" s="20"/>
      <c r="AM97" s="20"/>
      <c r="AN97" s="42"/>
      <c r="AO97" s="20"/>
      <c r="AP97" s="20"/>
      <c r="AQ97" s="17"/>
      <c r="AR97" s="47"/>
      <c r="AS97" s="53"/>
      <c r="AT97" s="47"/>
      <c r="AU97" s="47"/>
      <c r="AV97" s="47"/>
      <c r="AW97" s="47"/>
      <c r="AX97" s="47"/>
      <c r="AY97" s="47"/>
      <c r="AZ97" s="47"/>
      <c r="BA97" s="47"/>
      <c r="BB97" s="47"/>
      <c r="BC97" s="47"/>
      <c r="BD97" s="47"/>
      <c r="BE97" s="47"/>
      <c r="BF97" s="47"/>
      <c r="BG97" s="47"/>
      <c r="BH97" s="47"/>
      <c r="BI97" s="47"/>
      <c r="BJ97" s="47"/>
      <c r="BK97" s="47"/>
      <c r="BL97" s="47"/>
      <c r="BM97" s="51"/>
    </row>
    <row r="98" spans="31:65" x14ac:dyDescent="0.2">
      <c r="AE98" s="45"/>
      <c r="AF98" s="47"/>
      <c r="AG98" s="47"/>
      <c r="AH98" s="51"/>
      <c r="AI98" s="10"/>
      <c r="AJ98" s="6"/>
      <c r="AK98" s="6"/>
      <c r="AL98" s="14"/>
      <c r="AM98" s="6"/>
      <c r="AN98" s="6"/>
      <c r="AO98" s="14"/>
      <c r="AP98" s="6"/>
      <c r="AQ98" s="16"/>
      <c r="AR98" s="47"/>
      <c r="AS98" s="47"/>
      <c r="AT98" s="47"/>
      <c r="AU98" s="47"/>
      <c r="AV98" s="47"/>
      <c r="AW98" s="47"/>
      <c r="AX98" s="47"/>
      <c r="AY98" s="47"/>
      <c r="AZ98" s="47"/>
      <c r="BA98" s="47"/>
      <c r="BB98" s="47"/>
      <c r="BC98" s="47"/>
      <c r="BD98" s="47"/>
      <c r="BE98" s="47"/>
      <c r="BF98" s="47"/>
      <c r="BG98" s="47"/>
      <c r="BH98" s="47"/>
      <c r="BI98" s="47"/>
      <c r="BJ98" s="47"/>
      <c r="BK98" s="47"/>
      <c r="BL98" s="47"/>
      <c r="BM98" s="51"/>
    </row>
    <row r="99" spans="31:65" x14ac:dyDescent="0.2">
      <c r="AE99" s="45"/>
      <c r="AF99" s="47"/>
      <c r="AG99" s="47"/>
      <c r="AH99" s="51"/>
      <c r="AI99" s="12" t="s">
        <v>55</v>
      </c>
      <c r="AJ99" s="12" t="s">
        <v>52</v>
      </c>
      <c r="AK99" s="25">
        <f>IF(BB93=0,1,0)</f>
        <v>0</v>
      </c>
      <c r="AL99" s="12" t="s">
        <v>56</v>
      </c>
      <c r="AM99" s="12" t="s">
        <v>52</v>
      </c>
      <c r="AN99" s="25">
        <f>AH93</f>
        <v>1</v>
      </c>
      <c r="AO99" s="12" t="s">
        <v>57</v>
      </c>
      <c r="AP99" s="12" t="s">
        <v>52</v>
      </c>
      <c r="AQ99" s="25">
        <f>IF(AND(AH90=AH91,AH90&lt;&gt;AH93),1,0)</f>
        <v>0</v>
      </c>
      <c r="AR99" s="47"/>
      <c r="AS99" s="53"/>
      <c r="AT99" s="47"/>
      <c r="AU99" s="47"/>
      <c r="AV99" s="47"/>
      <c r="AW99" s="47"/>
      <c r="AX99" s="47"/>
      <c r="AY99" s="47"/>
      <c r="AZ99" s="47"/>
      <c r="BA99" s="47"/>
      <c r="BB99" s="47"/>
      <c r="BC99" s="47"/>
      <c r="BD99" s="47"/>
      <c r="BE99" s="47"/>
      <c r="BF99" s="47"/>
      <c r="BG99" s="47"/>
      <c r="BH99" s="47"/>
      <c r="BI99" s="47"/>
      <c r="BJ99" s="47"/>
      <c r="BK99" s="47"/>
      <c r="BL99" s="47"/>
      <c r="BM99" s="51"/>
    </row>
    <row r="100" spans="31:65" x14ac:dyDescent="0.2">
      <c r="AE100" s="45"/>
      <c r="AF100" s="47"/>
      <c r="AG100" s="47"/>
      <c r="AH100" s="51"/>
      <c r="AI100" s="18"/>
      <c r="AJ100" s="19"/>
      <c r="AK100" s="24"/>
      <c r="AL100" s="19"/>
      <c r="AM100" s="19"/>
      <c r="AN100" s="24"/>
      <c r="AO100" s="19"/>
      <c r="AP100" s="19"/>
      <c r="AQ100" s="24"/>
      <c r="AR100" s="47"/>
      <c r="AS100" s="47"/>
      <c r="AT100" s="47"/>
      <c r="AU100" s="47"/>
      <c r="AV100" s="47"/>
      <c r="AW100" s="47"/>
      <c r="AX100" s="47"/>
      <c r="AY100" s="47"/>
      <c r="AZ100" s="47"/>
      <c r="BA100" s="47"/>
      <c r="BB100" s="47"/>
      <c r="BC100" s="47"/>
      <c r="BD100" s="47"/>
      <c r="BE100" s="47"/>
      <c r="BF100" s="47"/>
      <c r="BG100" s="47"/>
      <c r="BH100" s="47"/>
      <c r="BI100" s="47"/>
      <c r="BJ100" s="47"/>
      <c r="BK100" s="47"/>
      <c r="BL100" s="47"/>
      <c r="BM100" s="51"/>
    </row>
    <row r="101" spans="31:65" x14ac:dyDescent="0.2">
      <c r="AE101" s="50"/>
      <c r="AF101" s="46"/>
      <c r="AG101" s="46"/>
      <c r="AH101" s="46"/>
      <c r="AI101" s="46"/>
      <c r="AJ101" s="46"/>
      <c r="AK101" s="46"/>
      <c r="AL101" s="46"/>
      <c r="AM101" s="46"/>
      <c r="AN101" s="46"/>
      <c r="AO101" s="46"/>
      <c r="AP101" s="46"/>
      <c r="AQ101" s="46"/>
      <c r="AR101" s="46"/>
      <c r="AS101" s="46"/>
      <c r="AT101" s="46"/>
      <c r="AU101" s="46"/>
      <c r="AV101" s="46"/>
      <c r="AW101" s="46"/>
      <c r="AX101" s="46"/>
      <c r="AY101" s="46"/>
      <c r="AZ101" s="46"/>
      <c r="BA101" s="46"/>
      <c r="BB101" s="46"/>
      <c r="BC101" s="46"/>
      <c r="BD101" s="46"/>
      <c r="BE101" s="46"/>
      <c r="BF101" s="46"/>
      <c r="BG101" s="46"/>
      <c r="BH101" s="46"/>
      <c r="BI101" s="46"/>
      <c r="BJ101" s="46"/>
      <c r="BK101" s="46"/>
      <c r="BL101" s="46"/>
      <c r="BM101" s="52"/>
    </row>
    <row r="104" spans="31:65" x14ac:dyDescent="0.2">
      <c r="AE104" s="43"/>
      <c r="AF104" s="44"/>
      <c r="AG104" s="44"/>
      <c r="AH104" s="44"/>
      <c r="AI104" s="44"/>
      <c r="AJ104" s="44"/>
      <c r="AK104" s="44"/>
      <c r="AL104" s="44"/>
      <c r="AM104" s="44"/>
      <c r="AN104" s="44"/>
      <c r="AO104" s="44"/>
      <c r="AP104" s="44"/>
      <c r="AQ104" s="44"/>
      <c r="AR104" s="44"/>
      <c r="AS104" s="44"/>
      <c r="AT104" s="44"/>
      <c r="AU104" s="44"/>
      <c r="AV104" s="44"/>
      <c r="AW104" s="44"/>
      <c r="AX104" s="44"/>
      <c r="AY104" s="44"/>
      <c r="AZ104" s="44"/>
      <c r="BA104" s="44"/>
      <c r="BB104" s="44"/>
      <c r="BC104" s="44"/>
      <c r="BD104" s="44"/>
      <c r="BE104" s="44"/>
      <c r="BF104" s="44"/>
      <c r="BG104" s="44"/>
      <c r="BH104" s="44"/>
      <c r="BI104" s="44"/>
      <c r="BJ104" s="44"/>
      <c r="BK104" s="44"/>
      <c r="BL104" s="44"/>
      <c r="BM104" s="48"/>
    </row>
    <row r="105" spans="31:65" x14ac:dyDescent="0.2">
      <c r="AE105" s="45"/>
      <c r="AF105" s="46"/>
      <c r="AG105" s="47"/>
      <c r="AH105" s="47"/>
      <c r="AI105" s="47"/>
      <c r="AJ105" s="47"/>
      <c r="AK105" s="47"/>
      <c r="AL105" s="47"/>
      <c r="AM105" s="47"/>
      <c r="AN105" s="47"/>
      <c r="AO105" s="47"/>
      <c r="AP105" s="47"/>
      <c r="AQ105" s="47"/>
      <c r="AR105" s="47"/>
      <c r="AS105" s="47"/>
      <c r="AT105" s="47"/>
      <c r="AU105" s="47"/>
      <c r="AV105" s="47"/>
      <c r="AW105" s="47"/>
      <c r="AX105" s="47"/>
      <c r="AY105" s="47"/>
      <c r="AZ105" s="47"/>
      <c r="BA105" s="47"/>
      <c r="BB105" s="47"/>
      <c r="BC105" s="47"/>
      <c r="BD105" s="47"/>
      <c r="BE105" s="47"/>
      <c r="BF105" s="47"/>
      <c r="BG105" s="47"/>
      <c r="BH105" s="47"/>
      <c r="BI105" s="47"/>
      <c r="BJ105" s="67" t="str">
        <f>"При сложении "&amp;
IF(AND(AH107=0,AH108=0),"двух положительных слагаемых",IF(AND(AH107=1,AH108=1),"двух отрицательных слагаемых","положительного и отрицательного слагаемого"))&amp;
" получено "&amp;
IF(AH110=0,"положительное число. ","отрицательное число. ")&amp;
IF(BD106="=","Результат выполнения операции верный и корректный, совпадает с суммой десятичных эквивалентов.","Результат выполнения операции не совпадает с суммой десяитчных эквивалентов, так как произошло переполнение.")</f>
        <v>При сложении положительного и отрицательного слагаемого получено положительное число. Результат выполнения операции верный и корректный, совпадает с суммой десятичных эквивалентов.</v>
      </c>
      <c r="BK105" s="68"/>
      <c r="BL105" s="69"/>
      <c r="BM105" s="51"/>
    </row>
    <row r="106" spans="31:65" x14ac:dyDescent="0.2">
      <c r="AE106" s="49"/>
      <c r="AF106" s="14"/>
      <c r="AG106" s="16"/>
      <c r="AH106" s="7">
        <f t="shared" ref="AH106:AZ106" si="45">IF(AH107=".","",IF(AI107=".",IF(AJ107+AJ108+AJ106&gt;=2,1,0),IF(AI107+AI108+AI106&gt;=2,1,0)))</f>
        <v>1</v>
      </c>
      <c r="AI106" s="7">
        <f t="shared" si="45"/>
        <v>0</v>
      </c>
      <c r="AJ106" s="7">
        <f t="shared" si="45"/>
        <v>1</v>
      </c>
      <c r="AK106" s="7">
        <f t="shared" si="45"/>
        <v>0</v>
      </c>
      <c r="AL106" s="7" t="str">
        <f t="shared" si="45"/>
        <v/>
      </c>
      <c r="AM106" s="7">
        <f t="shared" si="45"/>
        <v>0</v>
      </c>
      <c r="AN106" s="7">
        <f t="shared" si="45"/>
        <v>1</v>
      </c>
      <c r="AO106" s="7">
        <f t="shared" si="45"/>
        <v>1</v>
      </c>
      <c r="AP106" s="7">
        <f t="shared" si="45"/>
        <v>1</v>
      </c>
      <c r="AQ106" s="7" t="str">
        <f t="shared" si="45"/>
        <v/>
      </c>
      <c r="AR106" s="7">
        <f t="shared" si="45"/>
        <v>1</v>
      </c>
      <c r="AS106" s="7">
        <f t="shared" si="45"/>
        <v>1</v>
      </c>
      <c r="AT106" s="7">
        <f t="shared" si="45"/>
        <v>1</v>
      </c>
      <c r="AU106" s="7">
        <f t="shared" si="45"/>
        <v>0</v>
      </c>
      <c r="AV106" s="7" t="str">
        <f t="shared" si="45"/>
        <v/>
      </c>
      <c r="AW106" s="7">
        <f t="shared" si="45"/>
        <v>0</v>
      </c>
      <c r="AX106" s="7">
        <f t="shared" si="45"/>
        <v>0</v>
      </c>
      <c r="AY106" s="7">
        <f t="shared" si="45"/>
        <v>0</v>
      </c>
      <c r="AZ106" s="7">
        <f t="shared" si="45"/>
        <v>0</v>
      </c>
      <c r="BA106" s="10"/>
      <c r="BB106" s="10"/>
      <c r="BC106" s="16"/>
      <c r="BD106" s="64" t="str">
        <f>IF(BB110=BG110,"=","!=")</f>
        <v>=</v>
      </c>
      <c r="BE106" s="14"/>
      <c r="BF106" s="16"/>
      <c r="BG106" s="10"/>
      <c r="BH106" s="16"/>
      <c r="BI106" s="47"/>
      <c r="BJ106" s="70"/>
      <c r="BK106" s="71"/>
      <c r="BL106" s="72"/>
      <c r="BM106" s="51"/>
    </row>
    <row r="107" spans="31:65" x14ac:dyDescent="0.2">
      <c r="AE107" s="49"/>
      <c r="AF107" s="5"/>
      <c r="AG107" s="23" t="s">
        <v>71</v>
      </c>
      <c r="AH107" s="12">
        <f>I16</f>
        <v>1</v>
      </c>
      <c r="AI107" s="12">
        <f t="shared" ref="AI107:AZ107" si="46">J16</f>
        <v>1</v>
      </c>
      <c r="AJ107" s="12">
        <f t="shared" si="46"/>
        <v>0</v>
      </c>
      <c r="AK107" s="12">
        <f t="shared" si="46"/>
        <v>1</v>
      </c>
      <c r="AL107" s="12" t="str">
        <f t="shared" si="46"/>
        <v>.</v>
      </c>
      <c r="AM107" s="12">
        <f t="shared" si="46"/>
        <v>1</v>
      </c>
      <c r="AN107" s="12">
        <f t="shared" si="46"/>
        <v>0</v>
      </c>
      <c r="AO107" s="12">
        <f t="shared" si="46"/>
        <v>0</v>
      </c>
      <c r="AP107" s="12">
        <f t="shared" si="46"/>
        <v>1</v>
      </c>
      <c r="AQ107" s="12" t="str">
        <f t="shared" si="46"/>
        <v>.</v>
      </c>
      <c r="AR107" s="12">
        <f t="shared" si="46"/>
        <v>1</v>
      </c>
      <c r="AS107" s="12">
        <f t="shared" si="46"/>
        <v>1</v>
      </c>
      <c r="AT107" s="12">
        <f t="shared" si="46"/>
        <v>1</v>
      </c>
      <c r="AU107" s="12">
        <f t="shared" si="46"/>
        <v>1</v>
      </c>
      <c r="AV107" s="12" t="str">
        <f t="shared" si="46"/>
        <v>.</v>
      </c>
      <c r="AW107" s="12">
        <f t="shared" si="46"/>
        <v>0</v>
      </c>
      <c r="AX107" s="12">
        <f t="shared" si="46"/>
        <v>0</v>
      </c>
      <c r="AY107" s="12">
        <f t="shared" si="46"/>
        <v>1</v>
      </c>
      <c r="AZ107" s="12">
        <f t="shared" si="46"/>
        <v>0</v>
      </c>
      <c r="BA107" s="6"/>
      <c r="BB107" s="6"/>
      <c r="BC107" s="17"/>
      <c r="BD107" s="64"/>
      <c r="BE107" s="5"/>
      <c r="BF107" s="25" t="s">
        <v>72</v>
      </c>
      <c r="BG107" s="12">
        <f>E16</f>
        <v>-9742</v>
      </c>
      <c r="BH107" s="17"/>
      <c r="BI107" s="47"/>
      <c r="BJ107" s="70"/>
      <c r="BK107" s="71"/>
      <c r="BL107" s="72"/>
      <c r="BM107" s="51"/>
    </row>
    <row r="108" spans="31:65" x14ac:dyDescent="0.2">
      <c r="AE108" s="49"/>
      <c r="AF108" s="15" t="s">
        <v>46</v>
      </c>
      <c r="AG108" s="23" t="s">
        <v>63</v>
      </c>
      <c r="AH108" s="12">
        <f>I8</f>
        <v>0</v>
      </c>
      <c r="AI108" s="12">
        <f t="shared" ref="AI108:AZ108" si="47">J8</f>
        <v>1</v>
      </c>
      <c r="AJ108" s="12">
        <f t="shared" si="47"/>
        <v>0</v>
      </c>
      <c r="AK108" s="12">
        <f t="shared" si="47"/>
        <v>1</v>
      </c>
      <c r="AL108" s="12" t="str">
        <f t="shared" si="47"/>
        <v>.</v>
      </c>
      <c r="AM108" s="12">
        <f t="shared" si="47"/>
        <v>0</v>
      </c>
      <c r="AN108" s="12">
        <f t="shared" si="47"/>
        <v>0</v>
      </c>
      <c r="AO108" s="12">
        <f t="shared" si="47"/>
        <v>1</v>
      </c>
      <c r="AP108" s="12">
        <f t="shared" si="47"/>
        <v>1</v>
      </c>
      <c r="AQ108" s="12" t="str">
        <f t="shared" si="47"/>
        <v>.</v>
      </c>
      <c r="AR108" s="12">
        <f t="shared" si="47"/>
        <v>0</v>
      </c>
      <c r="AS108" s="12">
        <f t="shared" si="47"/>
        <v>1</v>
      </c>
      <c r="AT108" s="12">
        <f t="shared" si="47"/>
        <v>1</v>
      </c>
      <c r="AU108" s="12">
        <f t="shared" si="47"/>
        <v>1</v>
      </c>
      <c r="AV108" s="12" t="str">
        <f t="shared" si="47"/>
        <v>.</v>
      </c>
      <c r="AW108" s="12">
        <f t="shared" si="47"/>
        <v>0</v>
      </c>
      <c r="AX108" s="12">
        <f t="shared" si="47"/>
        <v>1</v>
      </c>
      <c r="AY108" s="12">
        <f t="shared" si="47"/>
        <v>0</v>
      </c>
      <c r="AZ108" s="12">
        <f t="shared" si="47"/>
        <v>0</v>
      </c>
      <c r="BA108" s="6"/>
      <c r="BB108" s="6"/>
      <c r="BC108" s="17"/>
      <c r="BD108" s="64"/>
      <c r="BE108" s="15" t="s">
        <v>46</v>
      </c>
      <c r="BF108" s="25" t="s">
        <v>64</v>
      </c>
      <c r="BG108" s="12">
        <f>E8</f>
        <v>21364</v>
      </c>
      <c r="BH108" s="17"/>
      <c r="BI108" s="47"/>
      <c r="BJ108" s="70"/>
      <c r="BK108" s="71"/>
      <c r="BL108" s="72"/>
      <c r="BM108" s="51"/>
    </row>
    <row r="109" spans="31:65" x14ac:dyDescent="0.2">
      <c r="AE109" s="49"/>
      <c r="AF109" s="5"/>
      <c r="AG109" s="63" t="s">
        <v>61</v>
      </c>
      <c r="AH109" s="63"/>
      <c r="AI109" s="63"/>
      <c r="AJ109" s="63"/>
      <c r="AK109" s="63"/>
      <c r="AL109" s="63"/>
      <c r="AM109" s="63"/>
      <c r="AN109" s="63"/>
      <c r="AO109" s="63"/>
      <c r="AP109" s="63"/>
      <c r="AQ109" s="63"/>
      <c r="AR109" s="63"/>
      <c r="AS109" s="63"/>
      <c r="AT109" s="63"/>
      <c r="AU109" s="63"/>
      <c r="AV109" s="63"/>
      <c r="AW109" s="63"/>
      <c r="AX109" s="63"/>
      <c r="AY109" s="63"/>
      <c r="AZ109" s="63"/>
      <c r="BA109" s="6"/>
      <c r="BB109" s="6"/>
      <c r="BC109" s="17"/>
      <c r="BD109" s="64"/>
      <c r="BE109" s="15"/>
      <c r="BF109" s="63" t="s">
        <v>60</v>
      </c>
      <c r="BG109" s="63"/>
      <c r="BH109" s="17"/>
      <c r="BI109" s="47"/>
      <c r="BJ109" s="70"/>
      <c r="BK109" s="71"/>
      <c r="BL109" s="72"/>
      <c r="BM109" s="51"/>
    </row>
    <row r="110" spans="31:65" x14ac:dyDescent="0.2">
      <c r="AE110" s="49"/>
      <c r="AF110" s="18"/>
      <c r="AG110" s="24"/>
      <c r="AH110" s="20">
        <f t="shared" ref="AH110:AZ110" si="48">IF(AH107=".",".",IF(MOD(AH107+AH108+AH106,2)&lt;&gt;0,1,0))</f>
        <v>0</v>
      </c>
      <c r="AI110" s="20">
        <f t="shared" si="48"/>
        <v>0</v>
      </c>
      <c r="AJ110" s="20">
        <f t="shared" si="48"/>
        <v>1</v>
      </c>
      <c r="AK110" s="20">
        <f t="shared" si="48"/>
        <v>0</v>
      </c>
      <c r="AL110" s="20" t="str">
        <f t="shared" si="48"/>
        <v>.</v>
      </c>
      <c r="AM110" s="20">
        <f t="shared" si="48"/>
        <v>1</v>
      </c>
      <c r="AN110" s="20">
        <f t="shared" si="48"/>
        <v>1</v>
      </c>
      <c r="AO110" s="20">
        <f t="shared" si="48"/>
        <v>0</v>
      </c>
      <c r="AP110" s="20">
        <f t="shared" si="48"/>
        <v>1</v>
      </c>
      <c r="AQ110" s="20" t="str">
        <f t="shared" si="48"/>
        <v>.</v>
      </c>
      <c r="AR110" s="20">
        <f t="shared" si="48"/>
        <v>0</v>
      </c>
      <c r="AS110" s="20">
        <f t="shared" si="48"/>
        <v>1</v>
      </c>
      <c r="AT110" s="20">
        <f t="shared" si="48"/>
        <v>1</v>
      </c>
      <c r="AU110" s="20">
        <f t="shared" si="48"/>
        <v>0</v>
      </c>
      <c r="AV110" s="20" t="str">
        <f t="shared" si="48"/>
        <v>.</v>
      </c>
      <c r="AW110" s="20">
        <f t="shared" si="48"/>
        <v>0</v>
      </c>
      <c r="AX110" s="20">
        <f t="shared" si="48"/>
        <v>1</v>
      </c>
      <c r="AY110" s="20">
        <f t="shared" si="48"/>
        <v>1</v>
      </c>
      <c r="AZ110" s="20">
        <f t="shared" si="48"/>
        <v>0</v>
      </c>
      <c r="BA110" s="21" t="s">
        <v>49</v>
      </c>
      <c r="BB110" s="19">
        <f>IF(AH110=0,
     AI110*2^14+AJ110*2^13+AK110*2^12+AM110*2^11+AN110*2^10+AO110*2^9+AP110*2^8+AR110*2^7+AS110*2^6+AT110*2^5+ AU110*2^4+AW110*2^3+AX110*2^2+AY110*2^1+AZ110,
     -((1-AI110)*2^14 +(1-AJ110)*2^13+(1-AK110)*2^12+(1-AM110)*2^11+(1-AN110)*2^10+(1-AO110)*2^9+(1-AP110)*2^8+(1-AR110)*2^7+(1-AS110)*2^6+(1-AT110)*2^5+(1-AU110)*2^4+(1-AW110)*2^3+(1-AX110)*2^2+(1-AY110)*2^1+(1-AZ110) + 1)
)</f>
        <v>11622</v>
      </c>
      <c r="BC110" s="22" t="s">
        <v>50</v>
      </c>
      <c r="BD110" s="64"/>
      <c r="BE110" s="18"/>
      <c r="BF110" s="24"/>
      <c r="BG110" s="19">
        <f>BG107+BG108</f>
        <v>11622</v>
      </c>
      <c r="BH110" s="22" t="s">
        <v>50</v>
      </c>
      <c r="BI110" s="47"/>
      <c r="BJ110" s="70"/>
      <c r="BK110" s="71"/>
      <c r="BL110" s="72"/>
      <c r="BM110" s="51"/>
    </row>
    <row r="111" spans="31:65" x14ac:dyDescent="0.2">
      <c r="AE111" s="45"/>
      <c r="AF111" s="44"/>
      <c r="AG111" s="47"/>
      <c r="AH111" s="47"/>
      <c r="AI111" s="47"/>
      <c r="AJ111" s="47"/>
      <c r="AK111" s="47"/>
      <c r="AL111" s="47"/>
      <c r="AM111" s="47"/>
      <c r="AN111" s="47"/>
      <c r="AO111" s="47"/>
      <c r="AP111" s="47"/>
      <c r="AQ111" s="47"/>
      <c r="AR111" s="47"/>
      <c r="AS111" s="47"/>
      <c r="AT111" s="47"/>
      <c r="AU111" s="47"/>
      <c r="AV111" s="47"/>
      <c r="AW111" s="47"/>
      <c r="AX111" s="47"/>
      <c r="AY111" s="47"/>
      <c r="AZ111" s="47"/>
      <c r="BA111" s="47"/>
      <c r="BB111" s="47"/>
      <c r="BC111" s="47"/>
      <c r="BD111" s="47"/>
      <c r="BE111" s="47"/>
      <c r="BF111" s="47"/>
      <c r="BG111" s="47"/>
      <c r="BH111" s="47"/>
      <c r="BI111" s="47"/>
      <c r="BJ111" s="73"/>
      <c r="BK111" s="74"/>
      <c r="BL111" s="75"/>
      <c r="BM111" s="51"/>
    </row>
    <row r="112" spans="31:65" x14ac:dyDescent="0.2">
      <c r="AE112" s="45"/>
      <c r="AF112" s="47"/>
      <c r="AG112" s="47"/>
      <c r="AH112" s="51"/>
      <c r="AI112" s="10"/>
      <c r="AJ112" s="10"/>
      <c r="AK112" s="16"/>
      <c r="AL112" s="10"/>
      <c r="AM112" s="10"/>
      <c r="AN112" s="16"/>
      <c r="AO112" s="10"/>
      <c r="AP112" s="10"/>
      <c r="AQ112" s="16"/>
      <c r="AR112" s="47"/>
      <c r="AS112" s="47"/>
      <c r="AT112" s="47"/>
      <c r="AU112" s="47"/>
      <c r="AV112" s="47"/>
      <c r="AW112" s="47"/>
      <c r="AX112" s="47"/>
      <c r="AY112" s="47"/>
      <c r="AZ112" s="47"/>
      <c r="BA112" s="47"/>
      <c r="BB112" s="47"/>
      <c r="BC112" s="47"/>
      <c r="BD112" s="47"/>
      <c r="BE112" s="47"/>
      <c r="BF112" s="47"/>
      <c r="BG112" s="47"/>
      <c r="BH112" s="47"/>
      <c r="BI112" s="47"/>
      <c r="BJ112" s="47"/>
      <c r="BK112" s="47"/>
      <c r="BL112" s="47"/>
      <c r="BM112" s="51"/>
    </row>
    <row r="113" spans="31:65" x14ac:dyDescent="0.2">
      <c r="AE113" s="45"/>
      <c r="AF113" s="47"/>
      <c r="AG113" s="47"/>
      <c r="AH113" s="51"/>
      <c r="AI113" s="12" t="s">
        <v>51</v>
      </c>
      <c r="AJ113" s="12" t="s">
        <v>52</v>
      </c>
      <c r="AK113" s="25">
        <f>IF(AH106+AH107+AH108&gt;1,1,0)</f>
        <v>1</v>
      </c>
      <c r="AL113" s="12" t="s">
        <v>53</v>
      </c>
      <c r="AM113" s="12" t="s">
        <v>52</v>
      </c>
      <c r="AN113" s="25">
        <f>IF(MOD(AW110+AX110+AY110+AZ110,2)=0,1,0)</f>
        <v>1</v>
      </c>
      <c r="AO113" s="12" t="s">
        <v>54</v>
      </c>
      <c r="AP113" s="12" t="s">
        <v>52</v>
      </c>
      <c r="AQ113" s="25">
        <f>AU106</f>
        <v>0</v>
      </c>
      <c r="AR113" s="47"/>
      <c r="AS113" s="53"/>
      <c r="AT113" s="47"/>
      <c r="AU113" s="47"/>
      <c r="AV113" s="47"/>
      <c r="AW113" s="47"/>
      <c r="AX113" s="47"/>
      <c r="AY113" s="47"/>
      <c r="AZ113" s="47"/>
      <c r="BA113" s="47"/>
      <c r="BB113" s="47"/>
      <c r="BC113" s="47"/>
      <c r="BD113" s="47"/>
      <c r="BE113" s="47"/>
      <c r="BF113" s="47"/>
      <c r="BG113" s="47"/>
      <c r="BH113" s="47"/>
      <c r="BI113" s="47"/>
      <c r="BJ113" s="47"/>
      <c r="BK113" s="47"/>
      <c r="BL113" s="47"/>
      <c r="BM113" s="51"/>
    </row>
    <row r="114" spans="31:65" x14ac:dyDescent="0.2">
      <c r="AE114" s="45"/>
      <c r="AF114" s="47"/>
      <c r="AG114" s="47"/>
      <c r="AH114" s="51"/>
      <c r="AI114" s="20"/>
      <c r="AJ114" s="20"/>
      <c r="AK114" s="42"/>
      <c r="AL114" s="20"/>
      <c r="AM114" s="20"/>
      <c r="AN114" s="42"/>
      <c r="AO114" s="20"/>
      <c r="AP114" s="20"/>
      <c r="AQ114" s="17"/>
      <c r="AR114" s="47"/>
      <c r="AS114" s="53"/>
      <c r="AT114" s="47"/>
      <c r="AU114" s="47"/>
      <c r="AV114" s="47"/>
      <c r="AW114" s="47"/>
      <c r="AX114" s="47"/>
      <c r="AY114" s="47"/>
      <c r="AZ114" s="47"/>
      <c r="BA114" s="47"/>
      <c r="BB114" s="47"/>
      <c r="BC114" s="47"/>
      <c r="BD114" s="47"/>
      <c r="BE114" s="47"/>
      <c r="BF114" s="47"/>
      <c r="BG114" s="47"/>
      <c r="BH114" s="47"/>
      <c r="BI114" s="47"/>
      <c r="BJ114" s="47"/>
      <c r="BK114" s="47"/>
      <c r="BL114" s="47"/>
      <c r="BM114" s="51"/>
    </row>
    <row r="115" spans="31:65" x14ac:dyDescent="0.2">
      <c r="AE115" s="45"/>
      <c r="AF115" s="47"/>
      <c r="AG115" s="47"/>
      <c r="AH115" s="51"/>
      <c r="AI115" s="10"/>
      <c r="AJ115" s="6"/>
      <c r="AK115" s="6"/>
      <c r="AL115" s="14"/>
      <c r="AM115" s="6"/>
      <c r="AN115" s="6"/>
      <c r="AO115" s="14"/>
      <c r="AP115" s="6"/>
      <c r="AQ115" s="16"/>
      <c r="AR115" s="47"/>
      <c r="AS115" s="47"/>
      <c r="AT115" s="47"/>
      <c r="AU115" s="47"/>
      <c r="AV115" s="47"/>
      <c r="AW115" s="47"/>
      <c r="AX115" s="47"/>
      <c r="AY115" s="47"/>
      <c r="AZ115" s="47"/>
      <c r="BA115" s="47"/>
      <c r="BB115" s="47"/>
      <c r="BC115" s="47"/>
      <c r="BD115" s="47"/>
      <c r="BE115" s="47"/>
      <c r="BF115" s="47"/>
      <c r="BG115" s="47"/>
      <c r="BH115" s="47"/>
      <c r="BI115" s="47"/>
      <c r="BJ115" s="47"/>
      <c r="BK115" s="47"/>
      <c r="BL115" s="47"/>
      <c r="BM115" s="51"/>
    </row>
    <row r="116" spans="31:65" x14ac:dyDescent="0.2">
      <c r="AE116" s="45"/>
      <c r="AF116" s="47"/>
      <c r="AG116" s="47"/>
      <c r="AH116" s="51"/>
      <c r="AI116" s="12" t="s">
        <v>55</v>
      </c>
      <c r="AJ116" s="12" t="s">
        <v>52</v>
      </c>
      <c r="AK116" s="25">
        <f>IF(BB110=0,1,0)</f>
        <v>0</v>
      </c>
      <c r="AL116" s="12" t="s">
        <v>56</v>
      </c>
      <c r="AM116" s="12" t="s">
        <v>52</v>
      </c>
      <c r="AN116" s="25">
        <f>AH110</f>
        <v>0</v>
      </c>
      <c r="AO116" s="12" t="s">
        <v>57</v>
      </c>
      <c r="AP116" s="12" t="s">
        <v>52</v>
      </c>
      <c r="AQ116" s="25">
        <f>IF(AND(AH107=AH108,AH107&lt;&gt;AH110),1,0)</f>
        <v>0</v>
      </c>
      <c r="AR116" s="47"/>
      <c r="AS116" s="53"/>
      <c r="AT116" s="47"/>
      <c r="AU116" s="47"/>
      <c r="AV116" s="47"/>
      <c r="AW116" s="47"/>
      <c r="AX116" s="47"/>
      <c r="AY116" s="47"/>
      <c r="AZ116" s="47"/>
      <c r="BA116" s="47"/>
      <c r="BB116" s="47"/>
      <c r="BC116" s="47"/>
      <c r="BD116" s="47"/>
      <c r="BE116" s="47"/>
      <c r="BF116" s="47"/>
      <c r="BG116" s="47"/>
      <c r="BH116" s="47"/>
      <c r="BI116" s="47"/>
      <c r="BJ116" s="47"/>
      <c r="BK116" s="47"/>
      <c r="BL116" s="47"/>
      <c r="BM116" s="51"/>
    </row>
    <row r="117" spans="31:65" x14ac:dyDescent="0.2">
      <c r="AE117" s="45"/>
      <c r="AF117" s="47"/>
      <c r="AG117" s="47"/>
      <c r="AH117" s="51"/>
      <c r="AI117" s="18"/>
      <c r="AJ117" s="19"/>
      <c r="AK117" s="24"/>
      <c r="AL117" s="19"/>
      <c r="AM117" s="19"/>
      <c r="AN117" s="24"/>
      <c r="AO117" s="19"/>
      <c r="AP117" s="19"/>
      <c r="AQ117" s="24"/>
      <c r="AR117" s="47"/>
      <c r="AS117" s="47"/>
      <c r="AT117" s="47"/>
      <c r="AU117" s="47"/>
      <c r="AV117" s="47"/>
      <c r="AW117" s="47"/>
      <c r="AX117" s="47"/>
      <c r="AY117" s="47"/>
      <c r="AZ117" s="47"/>
      <c r="BA117" s="47"/>
      <c r="BB117" s="47"/>
      <c r="BC117" s="47"/>
      <c r="BD117" s="47"/>
      <c r="BE117" s="47"/>
      <c r="BF117" s="47"/>
      <c r="BG117" s="47"/>
      <c r="BH117" s="47"/>
      <c r="BI117" s="47"/>
      <c r="BJ117" s="47"/>
      <c r="BK117" s="47"/>
      <c r="BL117" s="47"/>
      <c r="BM117" s="51"/>
    </row>
    <row r="118" spans="31:65" x14ac:dyDescent="0.2">
      <c r="AE118" s="50"/>
      <c r="AF118" s="46"/>
      <c r="AG118" s="46"/>
      <c r="AH118" s="46"/>
      <c r="AI118" s="46"/>
      <c r="AJ118" s="46"/>
      <c r="AK118" s="46"/>
      <c r="AL118" s="46"/>
      <c r="AM118" s="46"/>
      <c r="AN118" s="46"/>
      <c r="AO118" s="46"/>
      <c r="AP118" s="46"/>
      <c r="AQ118" s="46"/>
      <c r="AR118" s="46"/>
      <c r="AS118" s="46"/>
      <c r="AT118" s="46"/>
      <c r="AU118" s="46"/>
      <c r="AV118" s="46"/>
      <c r="AW118" s="46"/>
      <c r="AX118" s="46"/>
      <c r="AY118" s="46"/>
      <c r="AZ118" s="46"/>
      <c r="BA118" s="46"/>
      <c r="BB118" s="46"/>
      <c r="BC118" s="46"/>
      <c r="BD118" s="46"/>
      <c r="BE118" s="46"/>
      <c r="BF118" s="46"/>
      <c r="BG118" s="46"/>
      <c r="BH118" s="46"/>
      <c r="BI118" s="46"/>
      <c r="BJ118" s="46"/>
      <c r="BK118" s="46"/>
      <c r="BL118" s="46"/>
      <c r="BM118" s="52"/>
    </row>
  </sheetData>
  <mergeCells count="29">
    <mergeCell ref="BJ105:BL111"/>
    <mergeCell ref="BD106:BD110"/>
    <mergeCell ref="AG109:AZ109"/>
    <mergeCell ref="BF109:BG109"/>
    <mergeCell ref="BJ71:BL77"/>
    <mergeCell ref="BD72:BD76"/>
    <mergeCell ref="AG75:AZ75"/>
    <mergeCell ref="BF75:BG75"/>
    <mergeCell ref="BJ88:BL94"/>
    <mergeCell ref="BD89:BD93"/>
    <mergeCell ref="AG92:AZ92"/>
    <mergeCell ref="BF92:BG92"/>
    <mergeCell ref="BJ37:BL43"/>
    <mergeCell ref="BD38:BD42"/>
    <mergeCell ref="AG41:AZ41"/>
    <mergeCell ref="BF41:BG41"/>
    <mergeCell ref="BJ54:BL60"/>
    <mergeCell ref="BD55:BD59"/>
    <mergeCell ref="AG58:AZ58"/>
    <mergeCell ref="BF58:BG58"/>
    <mergeCell ref="AG7:AZ7"/>
    <mergeCell ref="BD4:BD8"/>
    <mergeCell ref="G5:H5"/>
    <mergeCell ref="BF7:BG7"/>
    <mergeCell ref="BJ20:BL26"/>
    <mergeCell ref="BD21:BD25"/>
    <mergeCell ref="AG24:AZ24"/>
    <mergeCell ref="BF24:BG24"/>
    <mergeCell ref="BJ3:BL9"/>
  </mergeCells>
  <conditionalFormatting sqref="AB6:AB17">
    <cfRule type="cellIs" dxfId="29" priority="33" operator="equal">
      <formula>"Нет"</formula>
    </cfRule>
    <cfRule type="cellIs" dxfId="28" priority="32" operator="equal">
      <formula>"Да"</formula>
    </cfRule>
  </conditionalFormatting>
  <conditionalFormatting sqref="BD4">
    <cfRule type="cellIs" dxfId="27" priority="31" operator="equal">
      <formula>"!="</formula>
    </cfRule>
    <cfRule type="cellIs" dxfId="26" priority="29" operator="equal">
      <formula>"="</formula>
    </cfRule>
  </conditionalFormatting>
  <conditionalFormatting sqref="BD21">
    <cfRule type="cellIs" dxfId="25" priority="24" operator="equal">
      <formula>"!="</formula>
    </cfRule>
    <cfRule type="cellIs" dxfId="24" priority="23" operator="equal">
      <formula>"="</formula>
    </cfRule>
  </conditionalFormatting>
  <conditionalFormatting sqref="BD38">
    <cfRule type="cellIs" dxfId="23" priority="20" operator="equal">
      <formula>"!="</formula>
    </cfRule>
    <cfRule type="cellIs" dxfId="22" priority="19" operator="equal">
      <formula>"="</formula>
    </cfRule>
  </conditionalFormatting>
  <conditionalFormatting sqref="BD55">
    <cfRule type="cellIs" dxfId="21" priority="16" operator="equal">
      <formula>"!="</formula>
    </cfRule>
    <cfRule type="cellIs" dxfId="20" priority="15" operator="equal">
      <formula>"="</formula>
    </cfRule>
  </conditionalFormatting>
  <conditionalFormatting sqref="BD72">
    <cfRule type="cellIs" dxfId="19" priority="11" operator="equal">
      <formula>"="</formula>
    </cfRule>
    <cfRule type="cellIs" dxfId="18" priority="12" operator="equal">
      <formula>"!="</formula>
    </cfRule>
  </conditionalFormatting>
  <conditionalFormatting sqref="BD89">
    <cfRule type="cellIs" dxfId="17" priority="8" operator="equal">
      <formula>"!="</formula>
    </cfRule>
    <cfRule type="cellIs" dxfId="16" priority="7" operator="equal">
      <formula>"="</formula>
    </cfRule>
  </conditionalFormatting>
  <conditionalFormatting sqref="BD106">
    <cfRule type="cellIs" dxfId="15" priority="4" operator="equal">
      <formula>"!="</formula>
    </cfRule>
    <cfRule type="cellIs" dxfId="14" priority="3" operator="equal">
      <formula>"="</formula>
    </cfRule>
  </conditionalFormatting>
  <conditionalFormatting sqref="BJ3:BL9">
    <cfRule type="expression" dxfId="13" priority="25" stopIfTrue="1">
      <formula>BD4&lt;&gt;"="</formula>
    </cfRule>
    <cfRule type="expression" dxfId="12" priority="26">
      <formula>BD4="="</formula>
    </cfRule>
  </conditionalFormatting>
  <conditionalFormatting sqref="BJ20:BL26">
    <cfRule type="expression" dxfId="11" priority="21" stopIfTrue="1">
      <formula>BD21&lt;&gt;"="</formula>
    </cfRule>
    <cfRule type="expression" dxfId="10" priority="22">
      <formula>BD21="="</formula>
    </cfRule>
  </conditionalFormatting>
  <conditionalFormatting sqref="BJ37:BL43">
    <cfRule type="expression" dxfId="9" priority="17" stopIfTrue="1">
      <formula>BD38&lt;&gt;"="</formula>
    </cfRule>
    <cfRule type="expression" dxfId="8" priority="18">
      <formula>BD38="="</formula>
    </cfRule>
  </conditionalFormatting>
  <conditionalFormatting sqref="BJ54:BL60">
    <cfRule type="expression" dxfId="7" priority="13" stopIfTrue="1">
      <formula>BD55&lt;&gt;"="</formula>
    </cfRule>
    <cfRule type="expression" dxfId="6" priority="14">
      <formula>BD55="="</formula>
    </cfRule>
  </conditionalFormatting>
  <conditionalFormatting sqref="BJ71:BL77">
    <cfRule type="expression" dxfId="5" priority="10">
      <formula>BD72="="</formula>
    </cfRule>
    <cfRule type="expression" dxfId="4" priority="9" stopIfTrue="1">
      <formula>BD72&lt;&gt;"="</formula>
    </cfRule>
  </conditionalFormatting>
  <conditionalFormatting sqref="BJ88:BL94">
    <cfRule type="expression" dxfId="3" priority="6">
      <formula>BD89="="</formula>
    </cfRule>
    <cfRule type="expression" dxfId="2" priority="5" stopIfTrue="1">
      <formula>BD89&lt;&gt;"="</formula>
    </cfRule>
  </conditionalFormatting>
  <conditionalFormatting sqref="BJ105:BL111">
    <cfRule type="expression" dxfId="1" priority="2">
      <formula>BD106="="</formula>
    </cfRule>
    <cfRule type="expression" dxfId="0" priority="1" stopIfTrue="1">
      <formula>BD106&lt;&gt;"="</formula>
    </cfRule>
  </conditionalFormatting>
  <pageMargins left="0.7" right="0.7" top="0.75" bottom="0.75" header="0.3" footer="0.3"/>
  <pageSetup paperSize="9" orientation="portrait" horizontalDpi="0" verticalDpi="0"/>
  <headerFooter>
    <oddHeader>&amp;LМихальченков Александр 
Николаевич&amp;CВариант № 11&amp;R&amp;"System Font,обычный"&amp;10&amp;K000000&amp;F</oddHeader>
    <oddFooter xml:space="preserve">&amp;R&amp;"System Font,обычный"&amp;10 15:25 &amp;K00000028.11.2025
</oddFooter>
  </headerFooter>
  <ignoredErrors>
    <ignoredError sqref="BC8 BH8 BC25 BH25 BC42 BH42 BC59 BH59 BC110 BH110 BH93 BC76 BH76 BC9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Mandatory Task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 M</dc:creator>
  <cp:lastModifiedBy>Alexandr M</cp:lastModifiedBy>
  <dcterms:created xsi:type="dcterms:W3CDTF">2025-11-26T20:43:26Z</dcterms:created>
  <dcterms:modified xsi:type="dcterms:W3CDTF">2025-11-29T15:53:39Z</dcterms:modified>
</cp:coreProperties>
</file>